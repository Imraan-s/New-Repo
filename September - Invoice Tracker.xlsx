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an.sardar\Documents\Soft Service\"/>
    </mc:Choice>
  </mc:AlternateContent>
  <xr:revisionPtr revIDLastSave="0" documentId="13_ncr:1_{44F86FFE-BAC3-43A1-9AAE-144EE7AC8339}" xr6:coauthVersionLast="47" xr6:coauthVersionMax="47" xr10:uidLastSave="{00000000-0000-0000-0000-000000000000}"/>
  <bookViews>
    <workbookView xWindow="-108" yWindow="-108" windowWidth="23256" windowHeight="12456" activeTab="1" xr2:uid="{F11AB1AB-FA2A-4FE7-8EFE-3D458BAEC335}"/>
  </bookViews>
  <sheets>
    <sheet name="Transport" sheetId="1" r:id="rId1"/>
    <sheet name="Soft Service" sheetId="7" r:id="rId2"/>
    <sheet name="MEP" sheetId="2" r:id="rId3"/>
    <sheet name="Adoc" sheetId="5" r:id="rId4"/>
    <sheet name="Vendor" sheetId="6" r:id="rId5"/>
  </sheets>
  <definedNames>
    <definedName name="_xlnm._FilterDatabase" localSheetId="4" hidden="1">Vendor!$A$1:$J$55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5" l="1"/>
  <c r="F9" i="5" s="1"/>
  <c r="F7" i="5"/>
  <c r="E7" i="5"/>
  <c r="F4" i="5"/>
  <c r="E6" i="5"/>
  <c r="F6" i="5" s="1"/>
  <c r="E5" i="5"/>
  <c r="F5" i="5" s="1"/>
  <c r="E4" i="5"/>
  <c r="L25" i="1"/>
  <c r="F25" i="1"/>
  <c r="G25" i="1" s="1"/>
  <c r="L40" i="1"/>
  <c r="L38" i="1"/>
  <c r="L37" i="1"/>
  <c r="L36" i="1"/>
  <c r="L34" i="1"/>
  <c r="L33" i="1"/>
  <c r="L32" i="1"/>
  <c r="L31" i="1"/>
  <c r="L30" i="1"/>
  <c r="L29" i="1"/>
  <c r="L24" i="1"/>
  <c r="L23" i="1"/>
  <c r="L22" i="1"/>
  <c r="L21" i="1"/>
  <c r="L20" i="1"/>
  <c r="L17" i="1"/>
  <c r="L16" i="1"/>
  <c r="L15" i="1"/>
  <c r="L12" i="1"/>
  <c r="L11" i="1"/>
  <c r="L10" i="1"/>
  <c r="L9" i="1"/>
  <c r="L8" i="1"/>
  <c r="L7" i="1"/>
  <c r="L2" i="7"/>
  <c r="L3" i="7"/>
  <c r="L4" i="7"/>
  <c r="L6" i="7"/>
  <c r="L7" i="7"/>
  <c r="L8" i="7"/>
  <c r="L9" i="7"/>
  <c r="L10" i="7"/>
  <c r="L11" i="7"/>
  <c r="L39" i="1"/>
  <c r="L35" i="1"/>
  <c r="L28" i="1"/>
  <c r="L27" i="1"/>
  <c r="L26" i="1"/>
  <c r="L19" i="1"/>
  <c r="L18" i="1"/>
  <c r="L14" i="1"/>
  <c r="L13" i="1"/>
  <c r="L5" i="1"/>
  <c r="L4" i="1"/>
  <c r="L2" i="1"/>
  <c r="F18" i="1"/>
  <c r="G18" i="1" s="1"/>
  <c r="G9" i="7"/>
  <c r="F40" i="1"/>
  <c r="G40" i="1" s="1"/>
  <c r="F22" i="1"/>
  <c r="G22" i="1" s="1"/>
  <c r="F23" i="1"/>
  <c r="G23" i="1" s="1"/>
  <c r="F24" i="1"/>
  <c r="G24" i="1" s="1"/>
  <c r="F34" i="1"/>
  <c r="G34" i="1" s="1"/>
  <c r="F36" i="1"/>
  <c r="G36" i="1" s="1"/>
  <c r="F21" i="1"/>
  <c r="G21" i="1" s="1"/>
  <c r="F7" i="1"/>
  <c r="G7" i="1" s="1"/>
  <c r="I4" i="6"/>
  <c r="F11" i="7"/>
  <c r="G11" i="7" s="1"/>
  <c r="F10" i="7"/>
  <c r="G10" i="7" s="1"/>
  <c r="F9" i="7"/>
  <c r="F8" i="7"/>
  <c r="G8" i="7" s="1"/>
  <c r="F7" i="7"/>
  <c r="G7" i="7" s="1"/>
  <c r="F6" i="7"/>
  <c r="G6" i="7" s="1"/>
  <c r="F5" i="7"/>
  <c r="G5" i="7" s="1"/>
  <c r="F4" i="7"/>
  <c r="G4" i="7" s="1"/>
  <c r="G3" i="7"/>
  <c r="F3" i="7"/>
  <c r="F2" i="7"/>
  <c r="G2" i="7" s="1"/>
  <c r="E3" i="5"/>
  <c r="F3" i="5" s="1"/>
  <c r="E2" i="5"/>
  <c r="F9" i="1"/>
  <c r="G9" i="1" s="1"/>
  <c r="F4" i="1"/>
  <c r="G4" i="1" s="1"/>
  <c r="F9" i="2"/>
  <c r="G9" i="2" s="1"/>
  <c r="G27" i="1"/>
  <c r="G11" i="1"/>
  <c r="G12" i="1"/>
  <c r="G17" i="1"/>
  <c r="G13" i="1"/>
  <c r="G15" i="1"/>
  <c r="G31" i="1"/>
  <c r="G32" i="1"/>
  <c r="G33" i="1"/>
  <c r="G3" i="1"/>
  <c r="F39" i="1"/>
  <c r="G39" i="1" s="1"/>
  <c r="F5" i="1"/>
  <c r="G5" i="1" s="1"/>
  <c r="F2" i="1"/>
  <c r="G2" i="1" s="1"/>
  <c r="F6" i="1"/>
  <c r="G6" i="1" s="1"/>
  <c r="F26" i="1"/>
  <c r="G26" i="1" s="1"/>
  <c r="F28" i="1"/>
  <c r="G28" i="1" s="1"/>
  <c r="G30" i="1"/>
  <c r="F14" i="1"/>
  <c r="G14" i="1" s="1"/>
  <c r="G16" i="1"/>
  <c r="F20" i="1"/>
  <c r="G20" i="1" s="1"/>
  <c r="F19" i="1"/>
  <c r="G19" i="1" s="1"/>
  <c r="F35" i="1"/>
  <c r="G35" i="1" s="1"/>
  <c r="F37" i="1"/>
  <c r="G37" i="1" s="1"/>
  <c r="F38" i="1"/>
  <c r="G38" i="1" s="1"/>
  <c r="F2" i="5" l="1"/>
</calcChain>
</file>

<file path=xl/sharedStrings.xml><?xml version="1.0" encoding="utf-8"?>
<sst xmlns="http://schemas.openxmlformats.org/spreadsheetml/2006/main" count="633" uniqueCount="120">
  <si>
    <t>S.No</t>
  </si>
  <si>
    <t>Vendor Name</t>
  </si>
  <si>
    <t>Service type</t>
  </si>
  <si>
    <t xml:space="preserve">Invoice value </t>
  </si>
  <si>
    <t>Stake holder</t>
  </si>
  <si>
    <t>Sent date</t>
  </si>
  <si>
    <t>Processed date</t>
  </si>
  <si>
    <t>PO value</t>
  </si>
  <si>
    <t>Difference</t>
  </si>
  <si>
    <t>Tharai</t>
  </si>
  <si>
    <t>Bus Services</t>
  </si>
  <si>
    <t>Kamalesh</t>
  </si>
  <si>
    <t>Toll</t>
  </si>
  <si>
    <t>EB</t>
  </si>
  <si>
    <t>Hari</t>
  </si>
  <si>
    <t>Hariprasath</t>
  </si>
  <si>
    <t>MAVERICK</t>
  </si>
  <si>
    <t>Location</t>
  </si>
  <si>
    <t>Service</t>
  </si>
  <si>
    <t>Vendor</t>
  </si>
  <si>
    <t>Stake Holder</t>
  </si>
  <si>
    <t>Siruseri</t>
  </si>
  <si>
    <t>Machine Maintanence Charges</t>
  </si>
  <si>
    <t>Sanjai Succeess</t>
  </si>
  <si>
    <t>Danny</t>
  </si>
  <si>
    <t>Rental - Snacks vending machine</t>
  </si>
  <si>
    <t>Alfa Refrigeration Co</t>
  </si>
  <si>
    <t>Landscaping manpower charges</t>
  </si>
  <si>
    <t>DARK GREEN ZONE</t>
  </si>
  <si>
    <t>Lunch combo</t>
  </si>
  <si>
    <t>Mariya Juice Stall</t>
  </si>
  <si>
    <t>Night shift snacks</t>
  </si>
  <si>
    <t>Bread, Milk and Snacks</t>
  </si>
  <si>
    <t>Food &amp; Snacks</t>
  </si>
  <si>
    <t>Mensa Foods Siruseri</t>
  </si>
  <si>
    <t>Food wastage vehicle</t>
  </si>
  <si>
    <t>Breakfast, dinner, special meals</t>
  </si>
  <si>
    <t>Enggineering Manpower</t>
  </si>
  <si>
    <t>Housekeeping Manpower</t>
  </si>
  <si>
    <t>Pest control</t>
  </si>
  <si>
    <t>PROPERTY SOLUTIONS (INDIA) PRIVATE LIMITED</t>
  </si>
  <si>
    <t>Vessel Washing Services</t>
  </si>
  <si>
    <t>Machine rent</t>
  </si>
  <si>
    <t>TRUEVALUE MARKETING SERVICES PVT. LTD. Siruseri</t>
  </si>
  <si>
    <t>Trubrew machine Rent</t>
  </si>
  <si>
    <t>LFCB charges</t>
  </si>
  <si>
    <t>Washroom Hygiene Concepts Pvt Ltd, Siruseri</t>
  </si>
  <si>
    <t>Mandaveli</t>
  </si>
  <si>
    <t>Water can</t>
  </si>
  <si>
    <t>S.R Water Company Mandaveli</t>
  </si>
  <si>
    <t>ASDS</t>
  </si>
  <si>
    <t>Raw Water Supply</t>
  </si>
  <si>
    <t>NS Water Suppliers</t>
  </si>
  <si>
    <t>Sri Gangaiyamman Transport</t>
  </si>
  <si>
    <t>Transport</t>
  </si>
  <si>
    <t>Arul Cabs</t>
  </si>
  <si>
    <t>Bee Cabs</t>
  </si>
  <si>
    <t>GYM Trainer</t>
  </si>
  <si>
    <t>Receptionist</t>
  </si>
  <si>
    <t>Walsons Services Private Limited</t>
  </si>
  <si>
    <t>Zumba session</t>
  </si>
  <si>
    <t>Deepika Meenakshi</t>
  </si>
  <si>
    <t>Security Services</t>
  </si>
  <si>
    <t>Transport Application &amp; GPS tracker</t>
  </si>
  <si>
    <t>Group 10</t>
  </si>
  <si>
    <t>NB Travels Regular</t>
  </si>
  <si>
    <t>Operation team - Courier</t>
  </si>
  <si>
    <t>Silver Arrow(Operation Team)</t>
  </si>
  <si>
    <t>Reception Bouquet</t>
  </si>
  <si>
    <t>Krish Sub Zero</t>
  </si>
  <si>
    <t>Uber</t>
  </si>
  <si>
    <t>NB Traverls RAC</t>
  </si>
  <si>
    <t>EV Car split up</t>
  </si>
  <si>
    <t>Parking Charges</t>
  </si>
  <si>
    <t>Maria Agencies</t>
  </si>
  <si>
    <t>Courier</t>
  </si>
  <si>
    <t>DTDC - Sky Bridge</t>
  </si>
  <si>
    <t>Transport booking application</t>
  </si>
  <si>
    <t>Nivaata Systems Private Limited - Routmatic</t>
  </si>
  <si>
    <t>With GST Amount</t>
  </si>
  <si>
    <t>Tax</t>
  </si>
  <si>
    <t>Garbage</t>
  </si>
  <si>
    <t>Dorado</t>
  </si>
  <si>
    <t>Wind Mill generation Bill</t>
  </si>
  <si>
    <t xml:space="preserve">Sewage </t>
  </si>
  <si>
    <t>Garden</t>
  </si>
  <si>
    <t>Drinking Water</t>
  </si>
  <si>
    <t>Drinking Water Supply</t>
  </si>
  <si>
    <t xml:space="preserve">Lakshmi TATA </t>
  </si>
  <si>
    <t>EV Cab Service</t>
  </si>
  <si>
    <t>Ponmani Internatinal (india) pvt ltd</t>
  </si>
  <si>
    <t>Hydrant pipe line</t>
  </si>
  <si>
    <t>No Invoice</t>
  </si>
  <si>
    <t>NB Travels Tempo Invoice(ASDS)</t>
  </si>
  <si>
    <t>TNEB</t>
  </si>
  <si>
    <t>Completed</t>
  </si>
  <si>
    <t>Sewage</t>
  </si>
  <si>
    <t>Garden Waste</t>
  </si>
  <si>
    <t>EB Madavelli</t>
  </si>
  <si>
    <t>EB Siruseri</t>
  </si>
  <si>
    <t>Monthly Lunch subsidy</t>
  </si>
  <si>
    <t>Food Lunch subsidy (ASDS)</t>
  </si>
  <si>
    <t>Completed Invoices</t>
  </si>
  <si>
    <t>Pending Invoices</t>
  </si>
  <si>
    <t>Total Monthly Invoices</t>
  </si>
  <si>
    <t>Remarks</t>
  </si>
  <si>
    <t>EV (Driver Salary Invoice)</t>
  </si>
  <si>
    <t>Max Media Solution</t>
  </si>
  <si>
    <t>Business Card</t>
  </si>
  <si>
    <t>Special Lunch</t>
  </si>
  <si>
    <t>Diffrence</t>
  </si>
  <si>
    <t>No PO</t>
  </si>
  <si>
    <t>No PO Value</t>
  </si>
  <si>
    <t>The month of Oct'25</t>
  </si>
  <si>
    <t>Column1</t>
  </si>
  <si>
    <t>JPL Aircon</t>
  </si>
  <si>
    <t>Velavan Agency</t>
  </si>
  <si>
    <t>Diesel</t>
  </si>
  <si>
    <t>SUPPLY FOR RENTAL AC- ( 7 Nos )</t>
  </si>
  <si>
    <t>AMC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</si>
</sst>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1" fillId="0" borderId="5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1" fillId="0" borderId="0" xfId="0" applyNumberFormat="1" applyFont="1" applyBorder="1"/>
    <xf numFmtId="164" fontId="0" fillId="0" borderId="0" xfId="0" applyNumberFormat="1" applyBorder="1"/>
    <xf numFmtId="164" fontId="0" fillId="0" borderId="1" xfId="0" applyNumberFormat="1" applyFill="1" applyBorder="1"/>
    <xf numFmtId="0" fontId="0" fillId="0" borderId="1" xfId="0" applyFill="1" applyBorder="1"/>
    <xf numFmtId="0" fontId="0" fillId="0" borderId="0" xfId="0" applyFill="1"/>
    <xf numFmtId="0" fontId="4" fillId="5" borderId="1" xfId="0" applyFont="1" applyFill="1" applyBorder="1"/>
    <xf numFmtId="164" fontId="4" fillId="5" borderId="1" xfId="0" applyNumberFormat="1" applyFont="1" applyFill="1" applyBorder="1"/>
    <xf numFmtId="14" fontId="0" fillId="0" borderId="1" xfId="0" applyNumberFormat="1" applyFill="1" applyBorder="1"/>
    <xf numFmtId="0" fontId="0" fillId="6" borderId="1" xfId="0" applyFill="1" applyBorder="1"/>
    <xf numFmtId="164" fontId="0" fillId="6" borderId="7" xfId="0" applyNumberFormat="1" applyFill="1" applyBorder="1"/>
    <xf numFmtId="164" fontId="0" fillId="6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4" fontId="0" fillId="7" borderId="1" xfId="0" applyNumberFormat="1" applyFill="1" applyBorder="1"/>
    <xf numFmtId="0" fontId="0" fillId="8" borderId="1" xfId="0" applyFill="1" applyBorder="1"/>
    <xf numFmtId="164" fontId="0" fillId="8" borderId="7" xfId="0" applyNumberFormat="1" applyFill="1" applyBorder="1"/>
    <xf numFmtId="164" fontId="0" fillId="8" borderId="1" xfId="0" applyNumberFormat="1" applyFill="1" applyBorder="1"/>
    <xf numFmtId="14" fontId="0" fillId="8" borderId="1" xfId="0" applyNumberFormat="1" applyFill="1" applyBorder="1"/>
    <xf numFmtId="0" fontId="0" fillId="8" borderId="7" xfId="0" applyFill="1" applyBorder="1"/>
    <xf numFmtId="14" fontId="0" fillId="8" borderId="7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164" fontId="0" fillId="0" borderId="5" xfId="0" applyNumberFormat="1" applyBorder="1"/>
    <xf numFmtId="0" fontId="1" fillId="0" borderId="9" xfId="0" applyFont="1" applyBorder="1"/>
    <xf numFmtId="0" fontId="1" fillId="0" borderId="10" xfId="0" applyFont="1" applyBorder="1"/>
    <xf numFmtId="164" fontId="1" fillId="0" borderId="10" xfId="0" applyNumberFormat="1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7" borderId="9" xfId="0" applyFill="1" applyBorder="1"/>
    <xf numFmtId="0" fontId="0" fillId="7" borderId="10" xfId="0" applyFill="1" applyBorder="1"/>
    <xf numFmtId="164" fontId="0" fillId="7" borderId="10" xfId="0" applyNumberFormat="1" applyFill="1" applyBorder="1"/>
    <xf numFmtId="164" fontId="0" fillId="7" borderId="17" xfId="0" applyNumberFormat="1" applyFill="1" applyBorder="1"/>
    <xf numFmtId="14" fontId="0" fillId="7" borderId="10" xfId="0" applyNumberFormat="1" applyFill="1" applyBorder="1"/>
    <xf numFmtId="0" fontId="0" fillId="7" borderId="12" xfId="0" applyFill="1" applyBorder="1"/>
    <xf numFmtId="0" fontId="0" fillId="7" borderId="14" xfId="0" applyFill="1" applyBorder="1"/>
    <xf numFmtId="0" fontId="0" fillId="7" borderId="15" xfId="0" applyFill="1" applyBorder="1"/>
    <xf numFmtId="164" fontId="0" fillId="7" borderId="15" xfId="0" applyNumberFormat="1" applyFill="1" applyBorder="1"/>
    <xf numFmtId="14" fontId="0" fillId="7" borderId="15" xfId="0" applyNumberFormat="1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5" xfId="0" applyFill="1" applyBorder="1"/>
    <xf numFmtId="0" fontId="0" fillId="6" borderId="9" xfId="0" applyFill="1" applyBorder="1"/>
    <xf numFmtId="0" fontId="0" fillId="6" borderId="10" xfId="0" applyFill="1" applyBorder="1"/>
    <xf numFmtId="164" fontId="0" fillId="6" borderId="18" xfId="0" applyNumberFormat="1" applyFill="1" applyBorder="1"/>
    <xf numFmtId="164" fontId="0" fillId="6" borderId="10" xfId="0" applyNumberFormat="1" applyFill="1" applyBorder="1"/>
    <xf numFmtId="0" fontId="0" fillId="6" borderId="15" xfId="0" applyFill="1" applyBorder="1"/>
    <xf numFmtId="164" fontId="0" fillId="6" borderId="15" xfId="0" applyNumberFormat="1" applyFill="1" applyBorder="1"/>
    <xf numFmtId="0" fontId="0" fillId="8" borderId="10" xfId="0" applyFill="1" applyBorder="1"/>
    <xf numFmtId="164" fontId="0" fillId="8" borderId="18" xfId="0" applyNumberFormat="1" applyFill="1" applyBorder="1"/>
    <xf numFmtId="164" fontId="0" fillId="8" borderId="10" xfId="0" applyNumberFormat="1" applyFill="1" applyBorder="1"/>
    <xf numFmtId="0" fontId="0" fillId="10" borderId="8" xfId="0" applyFont="1" applyFill="1" applyBorder="1"/>
    <xf numFmtId="0" fontId="0" fillId="10" borderId="16" xfId="0" applyFont="1" applyFill="1" applyBorder="1"/>
    <xf numFmtId="164" fontId="0" fillId="10" borderId="16" xfId="0" applyNumberFormat="1" applyFont="1" applyFill="1" applyBorder="1"/>
    <xf numFmtId="0" fontId="0" fillId="10" borderId="5" xfId="0" applyFont="1" applyFill="1" applyBorder="1"/>
    <xf numFmtId="0" fontId="0" fillId="7" borderId="1" xfId="0" applyFont="1" applyFill="1" applyBorder="1"/>
    <xf numFmtId="0" fontId="0" fillId="9" borderId="1" xfId="0" applyFont="1" applyFill="1" applyBorder="1"/>
    <xf numFmtId="0" fontId="0" fillId="6" borderId="10" xfId="0" applyFont="1" applyFill="1" applyBorder="1"/>
    <xf numFmtId="0" fontId="0" fillId="8" borderId="1" xfId="0" applyFont="1" applyFill="1" applyBorder="1"/>
    <xf numFmtId="0" fontId="1" fillId="0" borderId="19" xfId="0" applyFont="1" applyBorder="1"/>
    <xf numFmtId="0" fontId="2" fillId="2" borderId="1" xfId="0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0" fillId="9" borderId="1" xfId="0" applyNumberFormat="1" applyFill="1" applyBorder="1"/>
    <xf numFmtId="14" fontId="0" fillId="8" borderId="10" xfId="0" applyNumberFormat="1" applyFill="1" applyBorder="1"/>
    <xf numFmtId="14" fontId="0" fillId="6" borderId="15" xfId="0" applyNumberFormat="1" applyFill="1" applyBorder="1"/>
    <xf numFmtId="14" fontId="0" fillId="6" borderId="10" xfId="0" applyNumberFormat="1" applyFill="1" applyBorder="1"/>
    <xf numFmtId="14" fontId="0" fillId="6" borderId="1" xfId="0" applyNumberFormat="1" applyFill="1" applyBorder="1"/>
    <xf numFmtId="0" fontId="0" fillId="9" borderId="4" xfId="0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10" borderId="16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/>
    <xf numFmtId="0" fontId="0" fillId="0" borderId="5" xfId="0" applyBorder="1"/>
    <xf numFmtId="0" fontId="0" fillId="0" borderId="7" xfId="0" applyBorder="1"/>
  </cellXfs>
  <cellStyles count="1">
    <cellStyle name="Normal" xfId="0" builtinId="0"/>
  </cellStyles>
  <dxfs count="39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9C2859-4922-44A4-8A23-F52AB6A42334}" name="Table2" displayName="Table2" ref="A1:M40" totalsRowShown="0" headerRowDxfId="38" headerRowBorderDxfId="37" tableBorderDxfId="36" totalsRowBorderDxfId="35">
  <autoFilter ref="A1:M40" xr:uid="{979C2859-4922-44A4-8A23-F52AB6A42334}"/>
  <tableColumns count="13">
    <tableColumn id="1" xr3:uid="{30EF350E-4467-4D5E-980A-A429BF7A7584}" name="S.No" dataDxfId="34"/>
    <tableColumn id="13" xr3:uid="{3B30C680-5F08-4D50-8836-F310D4E4C3CF}" name="Location" dataDxfId="33"/>
    <tableColumn id="2" xr3:uid="{8F188224-3746-4D31-A8FE-7D9DAA12784C}" name="Vendor Name" dataDxfId="32"/>
    <tableColumn id="3" xr3:uid="{B1508BE5-19AC-4646-8902-57D56898A0F4}" name="Service type" dataDxfId="31"/>
    <tableColumn id="4" xr3:uid="{03679DA5-8010-4291-AD4B-6113F277DC8D}" name="Invoice value " dataDxfId="30"/>
    <tableColumn id="11" xr3:uid="{633373B0-96AE-458F-80F7-CCC9C34B23A8}" name="Tax" dataDxfId="29">
      <calculatedColumnFormula>Table2[[#This Row],[Invoice value ]]*18%</calculatedColumnFormula>
    </tableColumn>
    <tableColumn id="10" xr3:uid="{014CDA95-581E-4CAB-80B9-6E309EF952D3}" name="With GST Amount" dataDxfId="28"/>
    <tableColumn id="5" xr3:uid="{26192BB1-A36C-4992-89DA-D4DCEB4340E1}" name="Stake holder" dataDxfId="27"/>
    <tableColumn id="6" xr3:uid="{56E39CAA-F1AD-46C7-BBED-F7D8D588C7C5}" name="Sent date" dataDxfId="26"/>
    <tableColumn id="7" xr3:uid="{380D376C-8F93-468A-8AC8-BC79FBA7FDC0}" name="Processed date" dataDxfId="25"/>
    <tableColumn id="8" xr3:uid="{8B6E1331-D31A-4622-B708-C57C031F1288}" name="PO value" dataDxfId="24"/>
    <tableColumn id="12" xr3:uid="{26198EFD-DDCE-4073-A883-6A0ED8B871DB}" name="Diffrence" dataDxfId="23"/>
    <tableColumn id="9" xr3:uid="{D1C7D049-0B9F-477B-B6A7-71CABFE1E657}" name="Column1" dataDxfId="2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12659-44E9-4A34-AFA1-49531A30EDED}" name="Table42" displayName="Table42" ref="A1:L11" totalsRowShown="0" headerRowDxfId="21" headerRowBorderDxfId="20" tableBorderDxfId="19" totalsRowBorderDxfId="18">
  <autoFilter ref="A1:L11" xr:uid="{8A612659-44E9-4A34-AFA1-49531A30EDED}"/>
  <tableColumns count="12">
    <tableColumn id="1" xr3:uid="{37D8AE0A-85A8-41A4-8137-A9F401AE6877}" name="S.No" dataDxfId="17"/>
    <tableColumn id="11" xr3:uid="{3EAE1D53-2FD1-4540-8209-4E525C1119BF}" name="Location" dataDxfId="16"/>
    <tableColumn id="2" xr3:uid="{F70C131D-FA6B-4616-A527-C0124E1BA27D}" name="Vendor Name" dataDxfId="15"/>
    <tableColumn id="3" xr3:uid="{0EBE71FE-96B3-457B-A42C-77AED6C8E2B7}" name="Service type" dataDxfId="14"/>
    <tableColumn id="4" xr3:uid="{2793F6FC-6C87-4F95-B80B-D2BA89934232}" name="Invoice value " dataDxfId="13"/>
    <tableColumn id="12" xr3:uid="{6D1DAD02-5C17-44BD-964B-DFE1568DD0B0}" name="Tax" dataDxfId="12">
      <calculatedColumnFormula>Table42[[#This Row],[Invoice value ]]*18%</calculatedColumnFormula>
    </tableColumn>
    <tableColumn id="10" xr3:uid="{584E4091-EDA0-4A8F-8A29-FA91A346C521}" name="With GST Amount" dataDxfId="11">
      <calculatedColumnFormula>Table42[[#This Row],[Invoice value ]]+Table42[[#This Row],[Tax]]</calculatedColumnFormula>
    </tableColumn>
    <tableColumn id="5" xr3:uid="{81CBB73B-DEDE-4DB7-BC71-FF8C9416DD0B}" name="Stake holder" dataDxfId="10"/>
    <tableColumn id="6" xr3:uid="{B1E2B203-F73A-4C61-A815-95262316D912}" name="Sent date" dataDxfId="9"/>
    <tableColumn id="7" xr3:uid="{45503155-2EC8-4348-B0BF-0A59A537757E}" name="Processed date" dataDxfId="8"/>
    <tableColumn id="8" xr3:uid="{C0AEFF2D-4FD3-4E2B-9CEF-C87F5EF9D4B5}" name="PO value" dataDxfId="7"/>
    <tableColumn id="9" xr3:uid="{7C1467CE-84B2-4551-8670-648EF77BE286}" name="Difference" dataDxfId="6">
      <calculatedColumnFormula>Table42[[#This Row],[Invoice value ]]-Table42[[#This Row],[PO value]]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271FD0-DCA5-43F7-9AED-220C71C8842A}" name="Table3" displayName="Table3" ref="A1:L1048576" totalsRowShown="0" headerRowDxfId="5" headerRowBorderDxfId="4" tableBorderDxfId="3">
  <autoFilter ref="A1:L1048576" xr:uid="{0D271FD0-DCA5-43F7-9AED-220C71C8842A}"/>
  <tableColumns count="12">
    <tableColumn id="1" xr3:uid="{9F844E62-A8E0-41D5-BF3F-DA995DE45B75}" name="S.No"/>
    <tableColumn id="12" xr3:uid="{443A8F0E-3165-47B6-9470-5B9C30C13D14}" name="Location"/>
    <tableColumn id="2" xr3:uid="{0B923E4E-BDF7-4FFC-9BA5-3D222A90400F}" name="Vendor Name"/>
    <tableColumn id="3" xr3:uid="{D9655A08-D27A-4CD7-BFDD-D8209A32669A}" name="Service type"/>
    <tableColumn id="4" xr3:uid="{A4FB6EF8-5092-49A6-92C3-244815EA527F}" name="Invoice value " dataDxfId="2"/>
    <tableColumn id="10" xr3:uid="{D296162D-904C-4B9A-B706-6388B849061E}" name="Tax" dataDxfId="1"/>
    <tableColumn id="11" xr3:uid="{C7775BFC-34C4-4D7F-BE00-6548AAE9C1FB}" name="With GST Amount" dataDxfId="0">
      <calculatedColumnFormula>Table3[[#This Row],[Invoice value ]]+Table3[[#This Row],[Tax]]</calculatedColumnFormula>
    </tableColumn>
    <tableColumn id="5" xr3:uid="{043B919F-B26F-420D-9DCE-9E76804686C5}" name="Stake holder"/>
    <tableColumn id="6" xr3:uid="{C790B0F3-AA37-49B5-9B3A-93106C9329F0}" name="Sent date"/>
    <tableColumn id="7" xr3:uid="{6E5911A2-AB78-4130-B8F0-D9E300F5A420}" name="Processed date"/>
    <tableColumn id="8" xr3:uid="{D92AE390-B908-4E83-8C10-616D90B711EC}" name="PO value"/>
    <tableColumn id="9" xr3:uid="{B51BD42B-F0E3-4780-A2CB-A04E038DCD55}" name="Differenc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331B-D117-40EE-8797-91D5E4E2271B}">
  <dimension ref="A1:M40"/>
  <sheetViews>
    <sheetView zoomScaleNormal="100" workbookViewId="0">
      <selection activeCell="D24" sqref="D24"/>
    </sheetView>
  </sheetViews>
  <sheetFormatPr defaultRowHeight="14.4" x14ac:dyDescent="0.3"/>
  <cols>
    <col min="3" max="3" width="37.5546875" bestFit="1" customWidth="1"/>
    <col min="4" max="4" width="30.5546875" bestFit="1" customWidth="1"/>
    <col min="5" max="6" width="14.44140625" style="9" customWidth="1"/>
    <col min="7" max="7" width="18.33203125" style="9" bestFit="1" customWidth="1"/>
    <col min="8" max="8" width="13.44140625" customWidth="1"/>
    <col min="9" max="9" width="10.88671875" customWidth="1"/>
    <col min="10" max="10" width="15.5546875" customWidth="1"/>
    <col min="11" max="11" width="11.88671875" style="104" bestFit="1" customWidth="1"/>
    <col min="12" max="12" width="10.88671875" bestFit="1" customWidth="1"/>
  </cols>
  <sheetData>
    <row r="1" spans="1:13" ht="15" thickBot="1" x14ac:dyDescent="0.35">
      <c r="A1" s="61" t="s">
        <v>0</v>
      </c>
      <c r="B1" s="61" t="s">
        <v>17</v>
      </c>
      <c r="C1" s="62" t="s">
        <v>1</v>
      </c>
      <c r="D1" s="62" t="s">
        <v>2</v>
      </c>
      <c r="E1" s="63" t="s">
        <v>3</v>
      </c>
      <c r="F1" s="63" t="s">
        <v>80</v>
      </c>
      <c r="G1" s="63" t="s">
        <v>79</v>
      </c>
      <c r="H1" s="62" t="s">
        <v>4</v>
      </c>
      <c r="I1" s="62" t="s">
        <v>5</v>
      </c>
      <c r="J1" s="62" t="s">
        <v>6</v>
      </c>
      <c r="K1" s="98" t="s">
        <v>7</v>
      </c>
      <c r="L1" s="64" t="s">
        <v>110</v>
      </c>
      <c r="M1" s="64" t="s">
        <v>114</v>
      </c>
    </row>
    <row r="2" spans="1:13" x14ac:dyDescent="0.3">
      <c r="A2" s="39">
        <v>1</v>
      </c>
      <c r="B2" s="65" t="s">
        <v>21</v>
      </c>
      <c r="C2" s="40" t="s">
        <v>9</v>
      </c>
      <c r="D2" s="40" t="s">
        <v>10</v>
      </c>
      <c r="E2" s="41">
        <v>657244</v>
      </c>
      <c r="F2" s="42">
        <f>Table2[[#This Row],[Invoice value ]]*18%</f>
        <v>118303.92</v>
      </c>
      <c r="G2" s="41">
        <f>Table2[[#This Row],[Invoice value ]]+Table2[[#This Row],[Tax]]</f>
        <v>775547.92</v>
      </c>
      <c r="H2" s="40" t="s">
        <v>11</v>
      </c>
      <c r="I2" s="43">
        <v>45933</v>
      </c>
      <c r="J2" s="43">
        <v>45936</v>
      </c>
      <c r="K2" s="97">
        <v>665000</v>
      </c>
      <c r="L2" s="32">
        <f>Table2[[#This Row],[Invoice value ]]+E3-Table2[[#This Row],[PO value]]</f>
        <v>-1706</v>
      </c>
      <c r="M2" s="106"/>
    </row>
    <row r="3" spans="1:13" x14ac:dyDescent="0.3">
      <c r="A3" s="44">
        <v>1</v>
      </c>
      <c r="B3" s="65" t="s">
        <v>21</v>
      </c>
      <c r="C3" s="21" t="s">
        <v>9</v>
      </c>
      <c r="D3" s="21" t="s">
        <v>12</v>
      </c>
      <c r="E3" s="22">
        <v>6050</v>
      </c>
      <c r="F3" s="22">
        <v>0</v>
      </c>
      <c r="G3" s="22">
        <f>Table2[[#This Row],[Invoice value ]]+Table2[[#This Row],[Tax]]</f>
        <v>6050</v>
      </c>
      <c r="H3" s="21" t="s">
        <v>11</v>
      </c>
      <c r="I3" s="23">
        <v>45933</v>
      </c>
      <c r="J3" s="23">
        <v>45936</v>
      </c>
      <c r="K3" s="99"/>
      <c r="L3" s="1"/>
      <c r="M3" s="1"/>
    </row>
    <row r="4" spans="1:13" x14ac:dyDescent="0.3">
      <c r="A4" s="44">
        <v>2</v>
      </c>
      <c r="B4" s="65" t="s">
        <v>21</v>
      </c>
      <c r="C4" s="21" t="s">
        <v>74</v>
      </c>
      <c r="D4" s="21" t="s">
        <v>73</v>
      </c>
      <c r="E4" s="22">
        <v>14407</v>
      </c>
      <c r="F4" s="22">
        <f>Table2[[#This Row],[Invoice value ]]*18%</f>
        <v>2593.2599999999998</v>
      </c>
      <c r="G4" s="22">
        <f>Table2[[#This Row],[Invoice value ]]+Table2[[#This Row],[Tax]]</f>
        <v>17000.259999999998</v>
      </c>
      <c r="H4" s="21" t="s">
        <v>11</v>
      </c>
      <c r="I4" s="23">
        <v>45937</v>
      </c>
      <c r="J4" s="23">
        <v>45938</v>
      </c>
      <c r="K4" s="100">
        <v>14700</v>
      </c>
      <c r="L4" s="8">
        <f>Table2[[#This Row],[Invoice value ]]-Table2[[#This Row],[PO value]]</f>
        <v>-293</v>
      </c>
      <c r="M4" s="1"/>
    </row>
    <row r="5" spans="1:13" x14ac:dyDescent="0.3">
      <c r="A5" s="44">
        <v>3</v>
      </c>
      <c r="B5" s="65" t="s">
        <v>21</v>
      </c>
      <c r="C5" s="21" t="s">
        <v>16</v>
      </c>
      <c r="D5" s="21" t="s">
        <v>57</v>
      </c>
      <c r="E5" s="22">
        <v>7200</v>
      </c>
      <c r="F5" s="22">
        <f>Table2[[#This Row],[Invoice value ]]*5%</f>
        <v>360</v>
      </c>
      <c r="G5" s="22">
        <f>Table2[[#This Row],[Invoice value ]]+Table2[[#This Row],[Tax]]</f>
        <v>7560</v>
      </c>
      <c r="H5" s="21" t="s">
        <v>11</v>
      </c>
      <c r="I5" s="23">
        <v>45936</v>
      </c>
      <c r="J5" s="23">
        <v>45938</v>
      </c>
      <c r="K5" s="100">
        <v>24000</v>
      </c>
      <c r="L5" s="8">
        <f>Table2[[#This Row],[Invoice value ]]+E6-Table2[[#This Row],[PO value]]</f>
        <v>-300</v>
      </c>
      <c r="M5" s="1"/>
    </row>
    <row r="6" spans="1:13" x14ac:dyDescent="0.3">
      <c r="A6" s="44">
        <v>3</v>
      </c>
      <c r="B6" s="65" t="s">
        <v>21</v>
      </c>
      <c r="C6" s="21" t="s">
        <v>16</v>
      </c>
      <c r="D6" s="21" t="s">
        <v>57</v>
      </c>
      <c r="E6" s="22">
        <v>16500</v>
      </c>
      <c r="F6" s="22">
        <f>Table2[[#This Row],[Invoice value ]]*18%</f>
        <v>2970</v>
      </c>
      <c r="G6" s="22">
        <f>Table2[[#This Row],[Invoice value ]]+Table2[[#This Row],[Tax]]</f>
        <v>19470</v>
      </c>
      <c r="H6" s="21" t="s">
        <v>11</v>
      </c>
      <c r="I6" s="23">
        <v>45936</v>
      </c>
      <c r="J6" s="23">
        <v>45938</v>
      </c>
      <c r="K6" s="100">
        <v>24000</v>
      </c>
      <c r="L6" s="1"/>
      <c r="M6" s="1"/>
    </row>
    <row r="7" spans="1:13" x14ac:dyDescent="0.3">
      <c r="A7" s="44">
        <v>4</v>
      </c>
      <c r="B7" s="65" t="s">
        <v>21</v>
      </c>
      <c r="C7" s="21" t="s">
        <v>55</v>
      </c>
      <c r="D7" s="21" t="s">
        <v>54</v>
      </c>
      <c r="E7" s="22">
        <v>97152</v>
      </c>
      <c r="F7" s="22">
        <f>Table2[[#This Row],[Invoice value ]]*5%</f>
        <v>4857.6000000000004</v>
      </c>
      <c r="G7" s="22">
        <f>Table2[[#This Row],[Invoice value ]]+Table2[[#This Row],[Tax]]</f>
        <v>102009.60000000001</v>
      </c>
      <c r="H7" s="22" t="s">
        <v>11</v>
      </c>
      <c r="I7" s="23">
        <v>45939</v>
      </c>
      <c r="J7" s="23">
        <v>45939</v>
      </c>
      <c r="K7" s="100" t="s">
        <v>111</v>
      </c>
      <c r="L7" s="8" t="e">
        <f>Table2[[#This Row],[Invoice value ]]-Table2[[#This Row],[PO value]]</f>
        <v>#VALUE!</v>
      </c>
      <c r="M7" s="1"/>
    </row>
    <row r="8" spans="1:13" x14ac:dyDescent="0.3">
      <c r="A8" s="44">
        <v>4</v>
      </c>
      <c r="B8" s="65" t="s">
        <v>21</v>
      </c>
      <c r="C8" s="21" t="s">
        <v>55</v>
      </c>
      <c r="D8" s="21" t="s">
        <v>12</v>
      </c>
      <c r="E8" s="22">
        <v>940</v>
      </c>
      <c r="F8" s="22">
        <v>0</v>
      </c>
      <c r="G8" s="22">
        <v>940</v>
      </c>
      <c r="H8" s="22" t="s">
        <v>11</v>
      </c>
      <c r="I8" s="23">
        <v>45939</v>
      </c>
      <c r="J8" s="23">
        <v>45939</v>
      </c>
      <c r="K8" s="100" t="s">
        <v>111</v>
      </c>
      <c r="L8" s="8" t="e">
        <f>Table2[[#This Row],[Invoice value ]]-Table2[[#This Row],[PO value]]</f>
        <v>#VALUE!</v>
      </c>
      <c r="M8" s="1"/>
    </row>
    <row r="9" spans="1:13" x14ac:dyDescent="0.3">
      <c r="A9" s="44">
        <v>5</v>
      </c>
      <c r="B9" s="65" t="s">
        <v>21</v>
      </c>
      <c r="C9" s="21" t="s">
        <v>56</v>
      </c>
      <c r="D9" s="21" t="s">
        <v>54</v>
      </c>
      <c r="E9" s="22">
        <v>40591.33</v>
      </c>
      <c r="F9" s="22">
        <f>Table2[[#This Row],[Invoice value ]]*5%</f>
        <v>2029.5665000000001</v>
      </c>
      <c r="G9" s="22">
        <f>Table2[[#This Row],[Invoice value ]]+Table2[[#This Row],[Tax]]</f>
        <v>42620.896500000003</v>
      </c>
      <c r="H9" s="21" t="s">
        <v>11</v>
      </c>
      <c r="I9" s="23">
        <v>45937</v>
      </c>
      <c r="J9" s="23">
        <v>45937</v>
      </c>
      <c r="K9" s="100" t="s">
        <v>111</v>
      </c>
      <c r="L9" s="8" t="e">
        <f>Table2[[#This Row],[Invoice value ]]-Table2[[#This Row],[PO value]]</f>
        <v>#VALUE!</v>
      </c>
      <c r="M9" s="1"/>
    </row>
    <row r="10" spans="1:13" x14ac:dyDescent="0.3">
      <c r="A10" s="44">
        <v>5</v>
      </c>
      <c r="B10" s="65" t="s">
        <v>21</v>
      </c>
      <c r="C10" s="21" t="s">
        <v>56</v>
      </c>
      <c r="D10" s="21" t="s">
        <v>12</v>
      </c>
      <c r="E10" s="22">
        <v>605</v>
      </c>
      <c r="F10" s="22">
        <v>0</v>
      </c>
      <c r="G10" s="22">
        <v>605</v>
      </c>
      <c r="H10" s="21" t="s">
        <v>11</v>
      </c>
      <c r="I10" s="23">
        <v>45937</v>
      </c>
      <c r="J10" s="23">
        <v>45937</v>
      </c>
      <c r="K10" s="100" t="s">
        <v>111</v>
      </c>
      <c r="L10" s="8" t="e">
        <f>Table2[[#This Row],[Invoice value ]]-Table2[[#This Row],[PO value]]</f>
        <v>#VALUE!</v>
      </c>
      <c r="M10" s="1"/>
    </row>
    <row r="11" spans="1:13" x14ac:dyDescent="0.3">
      <c r="A11" s="44">
        <v>6</v>
      </c>
      <c r="B11" s="65" t="s">
        <v>21</v>
      </c>
      <c r="C11" s="21" t="s">
        <v>65</v>
      </c>
      <c r="D11" s="21" t="s">
        <v>54</v>
      </c>
      <c r="E11" s="22">
        <v>501060</v>
      </c>
      <c r="F11" s="22">
        <v>0</v>
      </c>
      <c r="G11" s="22">
        <f>Table2[[#This Row],[Invoice value ]]+Table2[[#This Row],[Tax]]</f>
        <v>501060</v>
      </c>
      <c r="H11" s="21" t="s">
        <v>11</v>
      </c>
      <c r="I11" s="23">
        <v>45943</v>
      </c>
      <c r="J11" s="23">
        <v>45943</v>
      </c>
      <c r="K11" s="100" t="s">
        <v>111</v>
      </c>
      <c r="L11" s="8" t="e">
        <f>Table2[[#This Row],[Invoice value ]]-Table2[[#This Row],[PO value]]</f>
        <v>#VALUE!</v>
      </c>
      <c r="M11" s="1"/>
    </row>
    <row r="12" spans="1:13" x14ac:dyDescent="0.3">
      <c r="A12" s="44">
        <v>7</v>
      </c>
      <c r="B12" s="65" t="s">
        <v>21</v>
      </c>
      <c r="C12" s="21" t="s">
        <v>65</v>
      </c>
      <c r="D12" s="21" t="s">
        <v>12</v>
      </c>
      <c r="E12" s="22">
        <v>1600</v>
      </c>
      <c r="F12" s="22">
        <v>0</v>
      </c>
      <c r="G12" s="22">
        <f>Table2[[#This Row],[Invoice value ]]+Table2[[#This Row],[Tax]]</f>
        <v>1600</v>
      </c>
      <c r="H12" s="21" t="s">
        <v>11</v>
      </c>
      <c r="I12" s="23">
        <v>45943</v>
      </c>
      <c r="J12" s="23">
        <v>45943</v>
      </c>
      <c r="K12" s="100" t="s">
        <v>111</v>
      </c>
      <c r="L12" s="8" t="e">
        <f>Table2[[#This Row],[Invoice value ]]-Table2[[#This Row],[PO value]]</f>
        <v>#VALUE!</v>
      </c>
      <c r="M12" s="1"/>
    </row>
    <row r="13" spans="1:13" x14ac:dyDescent="0.3">
      <c r="A13" s="44">
        <v>8</v>
      </c>
      <c r="B13" s="65" t="s">
        <v>50</v>
      </c>
      <c r="C13" s="21" t="s">
        <v>93</v>
      </c>
      <c r="D13" s="21" t="s">
        <v>54</v>
      </c>
      <c r="E13" s="22">
        <v>75000</v>
      </c>
      <c r="F13" s="22">
        <v>0</v>
      </c>
      <c r="G13" s="22">
        <f>Table2[[#This Row],[Invoice value ]]+Table2[[#This Row],[Tax]]</f>
        <v>75000</v>
      </c>
      <c r="H13" s="21" t="s">
        <v>11</v>
      </c>
      <c r="I13" s="23">
        <v>45936</v>
      </c>
      <c r="J13" s="23">
        <v>45936</v>
      </c>
      <c r="K13" s="100">
        <v>75000</v>
      </c>
      <c r="L13" s="8">
        <f>Table2[[#This Row],[Invoice value ]]-Table2[[#This Row],[PO value]]</f>
        <v>0</v>
      </c>
      <c r="M13" s="1"/>
    </row>
    <row r="14" spans="1:13" x14ac:dyDescent="0.3">
      <c r="A14" s="44">
        <v>9</v>
      </c>
      <c r="B14" s="65" t="s">
        <v>21</v>
      </c>
      <c r="C14" s="21" t="s">
        <v>106</v>
      </c>
      <c r="D14" s="21" t="s">
        <v>54</v>
      </c>
      <c r="E14" s="22">
        <v>142541.67000000001</v>
      </c>
      <c r="F14" s="22">
        <f>Table2[[#This Row],[Invoice value ]]*18%</f>
        <v>25657.500600000003</v>
      </c>
      <c r="G14" s="22">
        <f>Table2[[#This Row],[Invoice value ]]+Table2[[#This Row],[Tax]]</f>
        <v>168199.17060000001</v>
      </c>
      <c r="H14" s="21" t="s">
        <v>11</v>
      </c>
      <c r="I14" s="23">
        <v>45936</v>
      </c>
      <c r="J14" s="23">
        <v>45937</v>
      </c>
      <c r="K14" s="100">
        <v>137500</v>
      </c>
      <c r="L14" s="8">
        <f>Table2[[#This Row],[Invoice value ]]-Table2[[#This Row],[PO value]]</f>
        <v>5041.6700000000128</v>
      </c>
      <c r="M14" s="1"/>
    </row>
    <row r="15" spans="1:13" x14ac:dyDescent="0.3">
      <c r="A15" s="44">
        <v>10</v>
      </c>
      <c r="B15" s="65" t="s">
        <v>21</v>
      </c>
      <c r="C15" s="21" t="s">
        <v>71</v>
      </c>
      <c r="D15" s="21" t="s">
        <v>54</v>
      </c>
      <c r="E15" s="22">
        <v>3978</v>
      </c>
      <c r="F15" s="22">
        <v>0</v>
      </c>
      <c r="G15" s="22">
        <f>Table2[[#This Row],[Invoice value ]]+Table2[[#This Row],[Tax]]</f>
        <v>3978</v>
      </c>
      <c r="H15" s="21" t="s">
        <v>11</v>
      </c>
      <c r="I15" s="23">
        <v>45937</v>
      </c>
      <c r="J15" s="23">
        <v>45937</v>
      </c>
      <c r="K15" s="100" t="s">
        <v>111</v>
      </c>
      <c r="L15" s="8" t="e">
        <f>Table2[[#This Row],[Invoice value ]]-Table2[[#This Row],[PO value]]</f>
        <v>#VALUE!</v>
      </c>
      <c r="M15" s="1"/>
    </row>
    <row r="16" spans="1:13" x14ac:dyDescent="0.3">
      <c r="A16" s="44">
        <v>11</v>
      </c>
      <c r="B16" s="65" t="s">
        <v>21</v>
      </c>
      <c r="C16" s="21" t="s">
        <v>72</v>
      </c>
      <c r="D16" s="21" t="s">
        <v>54</v>
      </c>
      <c r="E16" s="22">
        <v>333874</v>
      </c>
      <c r="F16" s="22">
        <v>0</v>
      </c>
      <c r="G16" s="22">
        <f>Table2[[#This Row],[Invoice value ]]+Table2[[#This Row],[Tax]]</f>
        <v>333874</v>
      </c>
      <c r="H16" s="22" t="s">
        <v>11</v>
      </c>
      <c r="I16" s="23">
        <v>45943</v>
      </c>
      <c r="J16" s="23">
        <v>45943</v>
      </c>
      <c r="K16" s="100" t="s">
        <v>111</v>
      </c>
      <c r="L16" s="8" t="e">
        <f>Table2[[#This Row],[Invoice value ]]-Table2[[#This Row],[PO value]]</f>
        <v>#VALUE!</v>
      </c>
      <c r="M16" s="1"/>
    </row>
    <row r="17" spans="1:13" x14ac:dyDescent="0.3">
      <c r="A17" s="44">
        <v>12</v>
      </c>
      <c r="B17" s="65" t="s">
        <v>21</v>
      </c>
      <c r="C17" s="21" t="s">
        <v>70</v>
      </c>
      <c r="D17" s="21" t="s">
        <v>54</v>
      </c>
      <c r="E17" s="22">
        <v>17144.95</v>
      </c>
      <c r="F17" s="22">
        <v>993.1</v>
      </c>
      <c r="G17" s="22">
        <f>Table2[[#This Row],[Invoice value ]]+Table2[[#This Row],[Tax]]</f>
        <v>18138.05</v>
      </c>
      <c r="H17" s="21" t="s">
        <v>11</v>
      </c>
      <c r="I17" s="23">
        <v>45936</v>
      </c>
      <c r="J17" s="23">
        <v>45936</v>
      </c>
      <c r="K17" s="100" t="s">
        <v>111</v>
      </c>
      <c r="L17" s="8" t="e">
        <f>Table2[[#This Row],[Invoice value ]]-Table2[[#This Row],[PO value]]</f>
        <v>#VALUE!</v>
      </c>
      <c r="M17" s="1"/>
    </row>
    <row r="18" spans="1:13" x14ac:dyDescent="0.3">
      <c r="A18" s="44">
        <v>13</v>
      </c>
      <c r="B18" s="65" t="s">
        <v>21</v>
      </c>
      <c r="C18" s="21" t="s">
        <v>64</v>
      </c>
      <c r="D18" s="21" t="s">
        <v>63</v>
      </c>
      <c r="E18" s="22">
        <v>3500</v>
      </c>
      <c r="F18" s="22">
        <f>Table2[[#This Row],[Invoice value ]]*18%</f>
        <v>630</v>
      </c>
      <c r="G18" s="22">
        <f>Table2[[#This Row],[Invoice value ]]+Table2[[#This Row],[Tax]]</f>
        <v>4130</v>
      </c>
      <c r="H18" s="21" t="s">
        <v>11</v>
      </c>
      <c r="I18" s="23">
        <v>45937</v>
      </c>
      <c r="J18" s="23">
        <v>45937</v>
      </c>
      <c r="K18" s="100">
        <v>3500</v>
      </c>
      <c r="L18" s="8">
        <f>Table2[[#This Row],[Invoice value ]]-Table2[[#This Row],[PO value]]</f>
        <v>0</v>
      </c>
      <c r="M18" s="1"/>
    </row>
    <row r="19" spans="1:13" ht="15" thickBot="1" x14ac:dyDescent="0.35">
      <c r="A19" s="45">
        <v>14</v>
      </c>
      <c r="B19" s="65" t="s">
        <v>21</v>
      </c>
      <c r="C19" s="46" t="s">
        <v>78</v>
      </c>
      <c r="D19" s="46" t="s">
        <v>77</v>
      </c>
      <c r="E19" s="47">
        <v>27000</v>
      </c>
      <c r="F19" s="47">
        <f>Table2[[#This Row],[Invoice value ]]*18%</f>
        <v>4860</v>
      </c>
      <c r="G19" s="47">
        <f>Table2[[#This Row],[Invoice value ]]+Table2[[#This Row],[Tax]]</f>
        <v>31860</v>
      </c>
      <c r="H19" s="46" t="s">
        <v>11</v>
      </c>
      <c r="I19" s="48">
        <v>45937</v>
      </c>
      <c r="J19" s="48">
        <v>45937</v>
      </c>
      <c r="K19" s="101">
        <v>27000</v>
      </c>
      <c r="L19" s="8">
        <f>Table2[[#This Row],[Invoice value ]]-Table2[[#This Row],[PO value]]</f>
        <v>0</v>
      </c>
      <c r="M19" s="1"/>
    </row>
    <row r="20" spans="1:13" x14ac:dyDescent="0.3">
      <c r="A20" s="49">
        <v>15</v>
      </c>
      <c r="B20" s="66" t="s">
        <v>21</v>
      </c>
      <c r="C20" s="50" t="s">
        <v>76</v>
      </c>
      <c r="D20" s="50" t="s">
        <v>75</v>
      </c>
      <c r="E20" s="31">
        <v>42785.79</v>
      </c>
      <c r="F20" s="31">
        <f>Table2[[#This Row],[Invoice value ]]*18%</f>
        <v>7701.4421999999995</v>
      </c>
      <c r="G20" s="31">
        <f>Table2[[#This Row],[Invoice value ]]+Table2[[#This Row],[Tax]]</f>
        <v>50487.232199999999</v>
      </c>
      <c r="H20" s="31" t="s">
        <v>11</v>
      </c>
      <c r="I20" s="90">
        <v>45945</v>
      </c>
      <c r="J20" s="90">
        <v>45945</v>
      </c>
      <c r="K20" s="100" t="s">
        <v>111</v>
      </c>
      <c r="L20" s="8" t="e">
        <f>Table2[[#This Row],[Invoice value ]]-Table2[[#This Row],[PO value]]</f>
        <v>#VALUE!</v>
      </c>
      <c r="M20" s="1"/>
    </row>
    <row r="21" spans="1:13" x14ac:dyDescent="0.3">
      <c r="A21" s="95">
        <v>16</v>
      </c>
      <c r="B21" s="66" t="s">
        <v>21</v>
      </c>
      <c r="C21" s="66" t="s">
        <v>107</v>
      </c>
      <c r="D21" s="66" t="s">
        <v>108</v>
      </c>
      <c r="E21" s="31">
        <v>3600</v>
      </c>
      <c r="F21" s="31">
        <f>Table2[[#This Row],[Invoice value ]]*18%</f>
        <v>648</v>
      </c>
      <c r="G21" s="31">
        <f>Table2[[#This Row],[Invoice value ]]+Table2[[#This Row],[Tax]]</f>
        <v>4248</v>
      </c>
      <c r="H21" s="31" t="s">
        <v>11</v>
      </c>
      <c r="I21" s="90">
        <v>45945</v>
      </c>
      <c r="J21" s="90">
        <v>45946</v>
      </c>
      <c r="K21" s="100" t="s">
        <v>111</v>
      </c>
      <c r="L21" s="8" t="e">
        <f>Table2[[#This Row],[Invoice value ]]-Table2[[#This Row],[PO value]]</f>
        <v>#VALUE!</v>
      </c>
      <c r="M21" s="1"/>
    </row>
    <row r="22" spans="1:13" x14ac:dyDescent="0.3">
      <c r="A22" s="95">
        <v>16</v>
      </c>
      <c r="B22" s="66" t="s">
        <v>21</v>
      </c>
      <c r="C22" s="66" t="s">
        <v>107</v>
      </c>
      <c r="D22" s="66" t="s">
        <v>108</v>
      </c>
      <c r="E22" s="31">
        <v>6000</v>
      </c>
      <c r="F22" s="31">
        <f>Table2[[#This Row],[Invoice value ]]*18%</f>
        <v>1080</v>
      </c>
      <c r="G22" s="31">
        <f>Table2[[#This Row],[Invoice value ]]+Table2[[#This Row],[Tax]]</f>
        <v>7080</v>
      </c>
      <c r="H22" s="31" t="s">
        <v>11</v>
      </c>
      <c r="I22" s="90">
        <v>45945</v>
      </c>
      <c r="J22" s="90">
        <v>45946</v>
      </c>
      <c r="K22" s="100" t="s">
        <v>111</v>
      </c>
      <c r="L22" s="8" t="e">
        <f>Table2[[#This Row],[Invoice value ]]-Table2[[#This Row],[PO value]]</f>
        <v>#VALUE!</v>
      </c>
      <c r="M22" s="1"/>
    </row>
    <row r="23" spans="1:13" x14ac:dyDescent="0.3">
      <c r="A23" s="95">
        <v>16</v>
      </c>
      <c r="B23" s="66" t="s">
        <v>21</v>
      </c>
      <c r="C23" s="66" t="s">
        <v>107</v>
      </c>
      <c r="D23" s="66" t="s">
        <v>108</v>
      </c>
      <c r="E23" s="31">
        <v>8400</v>
      </c>
      <c r="F23" s="31">
        <f>Table2[[#This Row],[Invoice value ]]*18%</f>
        <v>1512</v>
      </c>
      <c r="G23" s="31">
        <f>Table2[[#This Row],[Invoice value ]]+Table2[[#This Row],[Tax]]</f>
        <v>9912</v>
      </c>
      <c r="H23" s="31" t="s">
        <v>11</v>
      </c>
      <c r="I23" s="90">
        <v>45945</v>
      </c>
      <c r="J23" s="90">
        <v>45946</v>
      </c>
      <c r="K23" s="100" t="s">
        <v>111</v>
      </c>
      <c r="L23" s="8" t="e">
        <f>Table2[[#This Row],[Invoice value ]]-Table2[[#This Row],[PO value]]</f>
        <v>#VALUE!</v>
      </c>
      <c r="M23" s="1"/>
    </row>
    <row r="24" spans="1:13" x14ac:dyDescent="0.3">
      <c r="A24" s="95">
        <v>16</v>
      </c>
      <c r="B24" s="66" t="s">
        <v>21</v>
      </c>
      <c r="C24" s="66" t="s">
        <v>107</v>
      </c>
      <c r="D24" s="66" t="s">
        <v>108</v>
      </c>
      <c r="E24" s="31">
        <v>3600</v>
      </c>
      <c r="F24" s="31">
        <f>Table2[[#This Row],[Invoice value ]]*18%</f>
        <v>648</v>
      </c>
      <c r="G24" s="31">
        <f>Table2[[#This Row],[Invoice value ]]+Table2[[#This Row],[Tax]]</f>
        <v>4248</v>
      </c>
      <c r="H24" s="31" t="s">
        <v>11</v>
      </c>
      <c r="I24" s="90">
        <v>45945</v>
      </c>
      <c r="J24" s="90">
        <v>45946</v>
      </c>
      <c r="K24" s="100" t="s">
        <v>111</v>
      </c>
      <c r="L24" s="8" t="e">
        <f>Table2[[#This Row],[Invoice value ]]-Table2[[#This Row],[PO value]]</f>
        <v>#VALUE!</v>
      </c>
      <c r="M24" s="1"/>
    </row>
    <row r="25" spans="1:13" x14ac:dyDescent="0.3">
      <c r="A25" s="95"/>
      <c r="B25" s="66" t="s">
        <v>21</v>
      </c>
      <c r="C25" s="66" t="s">
        <v>107</v>
      </c>
      <c r="D25" s="66" t="s">
        <v>108</v>
      </c>
      <c r="E25" s="31">
        <v>1200</v>
      </c>
      <c r="F25" s="31">
        <f>Table2[[#This Row],[Invoice value ]]*18%</f>
        <v>216</v>
      </c>
      <c r="G25" s="31">
        <f>Table2[[#This Row],[Invoice value ]]+Table2[[#This Row],[Tax]]</f>
        <v>1416</v>
      </c>
      <c r="H25" s="31" t="s">
        <v>11</v>
      </c>
      <c r="I25" s="90">
        <v>45952</v>
      </c>
      <c r="J25" s="90">
        <v>45952</v>
      </c>
      <c r="K25" s="100" t="s">
        <v>111</v>
      </c>
      <c r="L25" s="8" t="e">
        <f>Table2[[#This Row],[Invoice value ]]-Table2[[#This Row],[PO value]]</f>
        <v>#VALUE!</v>
      </c>
      <c r="M25" s="1" t="s">
        <v>113</v>
      </c>
    </row>
    <row r="26" spans="1:13" ht="15" thickBot="1" x14ac:dyDescent="0.35">
      <c r="A26" s="30">
        <v>17</v>
      </c>
      <c r="B26" s="66" t="s">
        <v>21</v>
      </c>
      <c r="C26" s="30" t="s">
        <v>59</v>
      </c>
      <c r="D26" s="30" t="s">
        <v>58</v>
      </c>
      <c r="E26" s="31">
        <v>39189</v>
      </c>
      <c r="F26" s="31">
        <f>Table2[[#This Row],[Invoice value ]]*18%</f>
        <v>7054.0199999999995</v>
      </c>
      <c r="G26" s="31">
        <f>Table2[[#This Row],[Invoice value ]]+Table2[[#This Row],[Tax]]</f>
        <v>46243.02</v>
      </c>
      <c r="H26" s="31" t="s">
        <v>11</v>
      </c>
      <c r="I26" s="90">
        <v>45937</v>
      </c>
      <c r="J26" s="90">
        <v>45937</v>
      </c>
      <c r="K26" s="102">
        <v>39189</v>
      </c>
      <c r="L26" s="8">
        <f>Table2[[#This Row],[Invoice value ]]-Table2[[#This Row],[PO value]]</f>
        <v>0</v>
      </c>
      <c r="M26" s="1"/>
    </row>
    <row r="27" spans="1:13" x14ac:dyDescent="0.3">
      <c r="A27" s="49">
        <v>18</v>
      </c>
      <c r="B27" s="66" t="s">
        <v>21</v>
      </c>
      <c r="C27" s="30" t="s">
        <v>61</v>
      </c>
      <c r="D27" s="30" t="s">
        <v>60</v>
      </c>
      <c r="E27" s="31">
        <v>10000</v>
      </c>
      <c r="F27" s="31">
        <v>0</v>
      </c>
      <c r="G27" s="31">
        <f>Table2[[#This Row],[Invoice value ]]+Table2[[#This Row],[Tax]]</f>
        <v>10000</v>
      </c>
      <c r="H27" s="31" t="s">
        <v>11</v>
      </c>
      <c r="I27" s="90">
        <v>45936</v>
      </c>
      <c r="J27" s="90">
        <v>45937</v>
      </c>
      <c r="K27" s="102">
        <v>10000</v>
      </c>
      <c r="L27" s="8">
        <f>Table2[[#This Row],[Invoice value ]]-Table2[[#This Row],[PO value]]</f>
        <v>0</v>
      </c>
      <c r="M27" s="1"/>
    </row>
    <row r="28" spans="1:13" x14ac:dyDescent="0.3">
      <c r="A28" s="95">
        <v>19</v>
      </c>
      <c r="B28" s="66" t="s">
        <v>21</v>
      </c>
      <c r="C28" s="30" t="s">
        <v>59</v>
      </c>
      <c r="D28" s="30" t="s">
        <v>62</v>
      </c>
      <c r="E28" s="31">
        <v>662488</v>
      </c>
      <c r="F28" s="31">
        <f>Table2[[#This Row],[Invoice value ]]*18%</f>
        <v>119247.84</v>
      </c>
      <c r="G28" s="31">
        <f>Table2[[#This Row],[Invoice value ]]+Table2[[#This Row],[Tax]]</f>
        <v>781735.84</v>
      </c>
      <c r="H28" s="31" t="s">
        <v>11</v>
      </c>
      <c r="I28" s="90">
        <v>45937</v>
      </c>
      <c r="J28" s="90">
        <v>45937</v>
      </c>
      <c r="K28" s="102">
        <v>662488</v>
      </c>
      <c r="L28" s="8">
        <f>Table2[[#This Row],[Invoice value ]]-Table2[[#This Row],[PO value]]</f>
        <v>0</v>
      </c>
      <c r="M28" s="1"/>
    </row>
    <row r="29" spans="1:13" ht="15" thickBot="1" x14ac:dyDescent="0.35">
      <c r="A29" s="30">
        <v>20</v>
      </c>
      <c r="B29" s="66" t="s">
        <v>21</v>
      </c>
      <c r="C29" s="30" t="s">
        <v>67</v>
      </c>
      <c r="D29" s="30" t="s">
        <v>66</v>
      </c>
      <c r="E29" s="31" t="s">
        <v>92</v>
      </c>
      <c r="F29" s="31" t="s">
        <v>92</v>
      </c>
      <c r="G29" s="31" t="s">
        <v>92</v>
      </c>
      <c r="H29" s="31" t="s">
        <v>11</v>
      </c>
      <c r="I29" s="90"/>
      <c r="J29" s="90"/>
      <c r="K29" s="100" t="s">
        <v>111</v>
      </c>
      <c r="L29" s="8" t="e">
        <f>Table2[[#This Row],[Invoice value ]]-Table2[[#This Row],[PO value]]</f>
        <v>#VALUE!</v>
      </c>
      <c r="M29" s="1"/>
    </row>
    <row r="30" spans="1:13" ht="15" thickBot="1" x14ac:dyDescent="0.35">
      <c r="A30" s="49">
        <v>21</v>
      </c>
      <c r="B30" s="66" t="s">
        <v>21</v>
      </c>
      <c r="C30" s="51" t="s">
        <v>69</v>
      </c>
      <c r="D30" s="51" t="s">
        <v>68</v>
      </c>
      <c r="E30" s="31">
        <v>19000</v>
      </c>
      <c r="F30" s="31">
        <v>0</v>
      </c>
      <c r="G30" s="31">
        <f>Table2[[#This Row],[Invoice value ]]+Table2[[#This Row],[Tax]]</f>
        <v>19000</v>
      </c>
      <c r="H30" s="31" t="s">
        <v>11</v>
      </c>
      <c r="I30" s="90">
        <v>45940</v>
      </c>
      <c r="J30" s="90">
        <v>45940</v>
      </c>
      <c r="K30" s="100" t="s">
        <v>111</v>
      </c>
      <c r="L30" s="8" t="e">
        <f>Table2[[#This Row],[Invoice value ]]-Table2[[#This Row],[PO value]]</f>
        <v>#VALUE!</v>
      </c>
      <c r="M30" s="1"/>
    </row>
    <row r="31" spans="1:13" ht="15" thickBot="1" x14ac:dyDescent="0.35">
      <c r="A31" s="52">
        <v>22</v>
      </c>
      <c r="B31" s="67" t="s">
        <v>21</v>
      </c>
      <c r="C31" s="53" t="s">
        <v>30</v>
      </c>
      <c r="D31" s="53" t="s">
        <v>29</v>
      </c>
      <c r="E31" s="54">
        <v>33440</v>
      </c>
      <c r="F31" s="54">
        <v>0</v>
      </c>
      <c r="G31" s="55">
        <f>Table2[[#This Row],[Invoice value ]]+Table2[[#This Row],[Tax]]</f>
        <v>33440</v>
      </c>
      <c r="H31" s="53" t="s">
        <v>11</v>
      </c>
      <c r="I31" s="93">
        <v>45943</v>
      </c>
      <c r="J31" s="93">
        <v>45943</v>
      </c>
      <c r="K31" s="100" t="s">
        <v>111</v>
      </c>
      <c r="L31" s="8" t="e">
        <f>Table2[[#This Row],[Invoice value ]]-Table2[[#This Row],[PO value]]</f>
        <v>#VALUE!</v>
      </c>
      <c r="M31" s="1"/>
    </row>
    <row r="32" spans="1:13" ht="15" thickBot="1" x14ac:dyDescent="0.35">
      <c r="A32" s="18">
        <v>23</v>
      </c>
      <c r="B32" s="67" t="s">
        <v>21</v>
      </c>
      <c r="C32" s="18" t="s">
        <v>30</v>
      </c>
      <c r="D32" s="18" t="s">
        <v>31</v>
      </c>
      <c r="E32" s="19">
        <v>30055</v>
      </c>
      <c r="F32" s="19">
        <v>0</v>
      </c>
      <c r="G32" s="20">
        <f>Table2[[#This Row],[Invoice value ]]+Table2[[#This Row],[Tax]]</f>
        <v>30055</v>
      </c>
      <c r="H32" s="18" t="s">
        <v>11</v>
      </c>
      <c r="I32" s="94">
        <v>45943</v>
      </c>
      <c r="J32" s="94">
        <v>45943</v>
      </c>
      <c r="K32" s="100" t="s">
        <v>111</v>
      </c>
      <c r="L32" s="8" t="e">
        <f>Table2[[#This Row],[Invoice value ]]-Table2[[#This Row],[PO value]]</f>
        <v>#VALUE!</v>
      </c>
      <c r="M32" s="1"/>
    </row>
    <row r="33" spans="1:13" ht="15" thickBot="1" x14ac:dyDescent="0.35">
      <c r="A33" s="18">
        <v>24</v>
      </c>
      <c r="B33" s="67" t="s">
        <v>21</v>
      </c>
      <c r="C33" s="56" t="s">
        <v>30</v>
      </c>
      <c r="D33" s="56" t="s">
        <v>32</v>
      </c>
      <c r="E33" s="57">
        <v>41553</v>
      </c>
      <c r="F33" s="57">
        <v>0</v>
      </c>
      <c r="G33" s="57">
        <f>Table2[[#This Row],[Invoice value ]]+Table2[[#This Row],[Tax]]</f>
        <v>41553</v>
      </c>
      <c r="H33" s="56" t="s">
        <v>11</v>
      </c>
      <c r="I33" s="92">
        <v>45943</v>
      </c>
      <c r="J33" s="92">
        <v>45944</v>
      </c>
      <c r="K33" s="100" t="s">
        <v>111</v>
      </c>
      <c r="L33" s="8" t="e">
        <f>Table2[[#This Row],[Invoice value ]]-Table2[[#This Row],[PO value]]</f>
        <v>#VALUE!</v>
      </c>
      <c r="M33" s="1"/>
    </row>
    <row r="34" spans="1:13" x14ac:dyDescent="0.3">
      <c r="A34" s="24">
        <v>25</v>
      </c>
      <c r="B34" s="68" t="s">
        <v>21</v>
      </c>
      <c r="C34" s="58" t="s">
        <v>34</v>
      </c>
      <c r="D34" s="58" t="s">
        <v>33</v>
      </c>
      <c r="E34" s="59">
        <v>47275</v>
      </c>
      <c r="F34" s="25">
        <f>Table2[[#This Row],[Invoice value ]]*18%</f>
        <v>8509.5</v>
      </c>
      <c r="G34" s="60">
        <f>Table2[[#This Row],[Invoice value ]]+Table2[[#This Row],[Tax]]</f>
        <v>55784.5</v>
      </c>
      <c r="H34" s="58" t="s">
        <v>11</v>
      </c>
      <c r="I34" s="91">
        <v>45943</v>
      </c>
      <c r="J34" s="91">
        <v>45943</v>
      </c>
      <c r="K34" s="100" t="s">
        <v>111</v>
      </c>
      <c r="L34" s="8" t="e">
        <f>Table2[[#This Row],[Invoice value ]]-Table2[[#This Row],[PO value]]</f>
        <v>#VALUE!</v>
      </c>
      <c r="M34" s="1"/>
    </row>
    <row r="35" spans="1:13" x14ac:dyDescent="0.3">
      <c r="A35" s="24">
        <v>26</v>
      </c>
      <c r="B35" s="68" t="s">
        <v>21</v>
      </c>
      <c r="C35" s="24" t="s">
        <v>34</v>
      </c>
      <c r="D35" s="24" t="s">
        <v>35</v>
      </c>
      <c r="E35" s="25">
        <v>10000</v>
      </c>
      <c r="F35" s="25">
        <f>Table2[[#This Row],[Invoice value ]]*18%</f>
        <v>1800</v>
      </c>
      <c r="G35" s="26">
        <f>Table2[[#This Row],[Invoice value ]]+Table2[[#This Row],[Tax]]</f>
        <v>11800</v>
      </c>
      <c r="H35" s="24" t="s">
        <v>11</v>
      </c>
      <c r="I35" s="27">
        <v>45938</v>
      </c>
      <c r="J35" s="27">
        <v>45938</v>
      </c>
      <c r="K35" s="100">
        <v>10000</v>
      </c>
      <c r="L35" s="8">
        <f>Table2[[#This Row],[Invoice value ]]-Table2[[#This Row],[PO value]]</f>
        <v>0</v>
      </c>
      <c r="M35" s="1"/>
    </row>
    <row r="36" spans="1:13" x14ac:dyDescent="0.3">
      <c r="A36" s="24">
        <v>27</v>
      </c>
      <c r="B36" s="68" t="s">
        <v>21</v>
      </c>
      <c r="C36" s="24" t="s">
        <v>34</v>
      </c>
      <c r="D36" s="24" t="s">
        <v>36</v>
      </c>
      <c r="E36" s="25">
        <v>79080</v>
      </c>
      <c r="F36" s="25">
        <f>Table2[[#This Row],[Invoice value ]]*18%</f>
        <v>14234.4</v>
      </c>
      <c r="G36" s="25">
        <f>Table2[[#This Row],[Invoice value ]]+Table2[[#This Row],[Tax]]</f>
        <v>93314.4</v>
      </c>
      <c r="H36" s="25" t="s">
        <v>11</v>
      </c>
      <c r="I36" s="27">
        <v>45946</v>
      </c>
      <c r="J36" s="27">
        <v>45946</v>
      </c>
      <c r="K36" s="100" t="s">
        <v>111</v>
      </c>
      <c r="L36" s="8" t="e">
        <f>Table2[[#This Row],[Invoice value ]]-Table2[[#This Row],[PO value]]</f>
        <v>#VALUE!</v>
      </c>
      <c r="M36" s="1"/>
    </row>
    <row r="37" spans="1:13" x14ac:dyDescent="0.3">
      <c r="A37" s="24">
        <v>28</v>
      </c>
      <c r="B37" s="68" t="s">
        <v>21</v>
      </c>
      <c r="C37" s="28" t="s">
        <v>34</v>
      </c>
      <c r="D37" s="28" t="s">
        <v>100</v>
      </c>
      <c r="E37" s="25">
        <v>785400</v>
      </c>
      <c r="F37" s="25">
        <f>Table2[[#This Row],[Invoice value ]]*18%</f>
        <v>141372</v>
      </c>
      <c r="G37" s="26">
        <f>Table2[[#This Row],[Invoice value ]]+Table2[[#This Row],[Tax]]</f>
        <v>926772</v>
      </c>
      <c r="H37" s="24" t="s">
        <v>11</v>
      </c>
      <c r="I37" s="27">
        <v>45946</v>
      </c>
      <c r="J37" s="29">
        <v>45947</v>
      </c>
      <c r="K37" s="100" t="s">
        <v>111</v>
      </c>
      <c r="L37" s="8" t="e">
        <f>Table2[[#This Row],[Invoice value ]]-Table2[[#This Row],[PO value]]</f>
        <v>#VALUE!</v>
      </c>
      <c r="M37" s="1"/>
    </row>
    <row r="38" spans="1:13" x14ac:dyDescent="0.3">
      <c r="A38" s="24">
        <v>29</v>
      </c>
      <c r="B38" s="68" t="s">
        <v>50</v>
      </c>
      <c r="C38" s="28" t="s">
        <v>34</v>
      </c>
      <c r="D38" s="28" t="s">
        <v>101</v>
      </c>
      <c r="E38" s="25">
        <v>55680</v>
      </c>
      <c r="F38" s="25">
        <f>Table2[[#This Row],[Invoice value ]]*18%</f>
        <v>10022.4</v>
      </c>
      <c r="G38" s="26">
        <f>Table2[[#This Row],[Invoice value ]]+Table2[[#This Row],[Tax]]</f>
        <v>65702.399999999994</v>
      </c>
      <c r="H38" s="24" t="s">
        <v>11</v>
      </c>
      <c r="I38" s="29">
        <v>45938</v>
      </c>
      <c r="J38" s="29">
        <v>45938</v>
      </c>
      <c r="K38" s="100" t="s">
        <v>111</v>
      </c>
      <c r="L38" s="8" t="e">
        <f>Table2[[#This Row],[Invoice value ]]-Table2[[#This Row],[PO value]]</f>
        <v>#VALUE!</v>
      </c>
      <c r="M38" s="1"/>
    </row>
    <row r="39" spans="1:13" x14ac:dyDescent="0.3">
      <c r="A39" s="24">
        <v>30</v>
      </c>
      <c r="B39" s="68" t="s">
        <v>21</v>
      </c>
      <c r="C39" s="28" t="s">
        <v>34</v>
      </c>
      <c r="D39" s="28" t="s">
        <v>41</v>
      </c>
      <c r="E39" s="25">
        <v>130000</v>
      </c>
      <c r="F39" s="25">
        <f>Table2[[#This Row],[Invoice value ]]*18%</f>
        <v>23400</v>
      </c>
      <c r="G39" s="26">
        <f>Table2[[#This Row],[Invoice value ]]+Table2[[#This Row],[Tax]]</f>
        <v>153400</v>
      </c>
      <c r="H39" s="24" t="s">
        <v>11</v>
      </c>
      <c r="I39" s="29">
        <v>45938</v>
      </c>
      <c r="J39" s="29">
        <v>45938</v>
      </c>
      <c r="K39" s="103">
        <v>130000</v>
      </c>
      <c r="L39" s="8">
        <f>Table2[[#This Row],[Invoice value ]]-Table2[[#This Row],[PO value]]</f>
        <v>0</v>
      </c>
      <c r="M39" s="1"/>
    </row>
    <row r="40" spans="1:13" x14ac:dyDescent="0.3">
      <c r="A40" s="24">
        <v>30</v>
      </c>
      <c r="B40" s="68" t="s">
        <v>21</v>
      </c>
      <c r="C40" s="28" t="s">
        <v>34</v>
      </c>
      <c r="D40" s="28" t="s">
        <v>109</v>
      </c>
      <c r="E40" s="25">
        <v>67140</v>
      </c>
      <c r="F40" s="25">
        <f>Table2[[#This Row],[Invoice value ]]*18%</f>
        <v>12085.199999999999</v>
      </c>
      <c r="G40" s="26">
        <f>Table2[[#This Row],[Invoice value ]]+Table2[[#This Row],[Tax]]</f>
        <v>79225.2</v>
      </c>
      <c r="H40" s="24" t="s">
        <v>11</v>
      </c>
      <c r="I40" s="27">
        <v>45946</v>
      </c>
      <c r="J40" s="29">
        <v>45951</v>
      </c>
      <c r="K40" s="100" t="s">
        <v>111</v>
      </c>
      <c r="L40" s="8" t="e">
        <f>Table2[[#This Row],[Invoice value ]]-Table2[[#This Row],[PO value]]</f>
        <v>#VALUE!</v>
      </c>
      <c r="M40" s="107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0EDD-FBB0-4265-9BC3-357A61AD9EAA}">
  <dimension ref="A1:L11"/>
  <sheetViews>
    <sheetView tabSelected="1" workbookViewId="0">
      <selection activeCell="F18" sqref="F18"/>
    </sheetView>
  </sheetViews>
  <sheetFormatPr defaultRowHeight="14.4" x14ac:dyDescent="0.3"/>
  <cols>
    <col min="3" max="3" width="44.88671875" bestFit="1" customWidth="1"/>
    <col min="4" max="4" width="27.6640625" bestFit="1" customWidth="1"/>
    <col min="5" max="5" width="14.77734375" bestFit="1" customWidth="1"/>
    <col min="6" max="6" width="11.88671875" bestFit="1" customWidth="1"/>
    <col min="7" max="7" width="18.33203125" bestFit="1" customWidth="1"/>
    <col min="9" max="9" width="11.21875" bestFit="1" customWidth="1"/>
    <col min="10" max="10" width="16" bestFit="1" customWidth="1"/>
    <col min="11" max="12" width="11.88671875" bestFit="1" customWidth="1"/>
  </cols>
  <sheetData>
    <row r="1" spans="1:12" x14ac:dyDescent="0.3">
      <c r="A1" s="4" t="s">
        <v>0</v>
      </c>
      <c r="B1" s="4" t="s">
        <v>17</v>
      </c>
      <c r="C1" s="5" t="s">
        <v>1</v>
      </c>
      <c r="D1" s="5" t="s">
        <v>2</v>
      </c>
      <c r="E1" s="7" t="s">
        <v>3</v>
      </c>
      <c r="F1" s="10" t="s">
        <v>80</v>
      </c>
      <c r="G1" s="10" t="s">
        <v>79</v>
      </c>
      <c r="H1" s="5" t="s">
        <v>4</v>
      </c>
      <c r="I1" s="5" t="s">
        <v>5</v>
      </c>
      <c r="J1" s="5" t="s">
        <v>6</v>
      </c>
      <c r="K1" s="5" t="s">
        <v>7</v>
      </c>
      <c r="L1" s="6" t="s">
        <v>8</v>
      </c>
    </row>
    <row r="2" spans="1:12" x14ac:dyDescent="0.3">
      <c r="A2" s="3">
        <v>1</v>
      </c>
      <c r="B2" s="3" t="s">
        <v>21</v>
      </c>
      <c r="C2" s="1" t="s">
        <v>23</v>
      </c>
      <c r="D2" s="1" t="s">
        <v>22</v>
      </c>
      <c r="E2" s="8">
        <v>4500</v>
      </c>
      <c r="F2" s="11">
        <f>Table42[[#This Row],[Invoice value ]]*18%</f>
        <v>810</v>
      </c>
      <c r="G2" s="11">
        <f>Table42[[#This Row],[Invoice value ]]+Table42[[#This Row],[Tax]]</f>
        <v>5310</v>
      </c>
      <c r="H2" s="1" t="s">
        <v>24</v>
      </c>
      <c r="I2" s="2">
        <v>45936</v>
      </c>
      <c r="J2" s="2">
        <v>45936</v>
      </c>
      <c r="K2" s="96">
        <v>4500</v>
      </c>
      <c r="L2" s="105">
        <f>Table42[[#This Row],[Invoice value ]]-Table42[[#This Row],[PO value]]</f>
        <v>0</v>
      </c>
    </row>
    <row r="3" spans="1:12" x14ac:dyDescent="0.3">
      <c r="A3" s="3">
        <v>2</v>
      </c>
      <c r="B3" s="3" t="s">
        <v>21</v>
      </c>
      <c r="C3" s="1" t="s">
        <v>26</v>
      </c>
      <c r="D3" s="1" t="s">
        <v>25</v>
      </c>
      <c r="E3" s="8">
        <v>9000</v>
      </c>
      <c r="F3" s="11">
        <f>Table42[[#This Row],[Invoice value ]]*18%</f>
        <v>1620</v>
      </c>
      <c r="G3" s="11">
        <f>Table42[[#This Row],[Invoice value ]]+Table42[[#This Row],[Tax]]</f>
        <v>10620</v>
      </c>
      <c r="H3" s="1" t="s">
        <v>24</v>
      </c>
      <c r="I3" s="2">
        <v>45929</v>
      </c>
      <c r="J3" s="2">
        <v>45929</v>
      </c>
      <c r="K3" s="96">
        <v>9000</v>
      </c>
      <c r="L3" s="105">
        <f>Table42[[#This Row],[Invoice value ]]-Table42[[#This Row],[PO value]]</f>
        <v>0</v>
      </c>
    </row>
    <row r="4" spans="1:12" x14ac:dyDescent="0.3">
      <c r="A4" s="3">
        <v>3</v>
      </c>
      <c r="B4" s="3" t="s">
        <v>21</v>
      </c>
      <c r="C4" s="1" t="s">
        <v>28</v>
      </c>
      <c r="D4" s="1" t="s">
        <v>27</v>
      </c>
      <c r="E4" s="8">
        <v>116250</v>
      </c>
      <c r="F4" s="11">
        <f>Table42[[#This Row],[Invoice value ]]*18%</f>
        <v>20925</v>
      </c>
      <c r="G4" s="11">
        <f>Table42[[#This Row],[Invoice value ]]+Table42[[#This Row],[Tax]]</f>
        <v>137175</v>
      </c>
      <c r="H4" s="1" t="s">
        <v>24</v>
      </c>
      <c r="I4" s="2">
        <v>45937</v>
      </c>
      <c r="J4" s="2">
        <v>45937</v>
      </c>
      <c r="K4" s="96">
        <v>127500</v>
      </c>
      <c r="L4" s="105">
        <f>Table42[[#This Row],[Invoice value ]]-Table42[[#This Row],[PO value]]</f>
        <v>-11250</v>
      </c>
    </row>
    <row r="5" spans="1:12" x14ac:dyDescent="0.3">
      <c r="A5" s="3">
        <v>4</v>
      </c>
      <c r="B5" s="3" t="s">
        <v>21</v>
      </c>
      <c r="C5" s="1" t="s">
        <v>34</v>
      </c>
      <c r="D5" s="1" t="s">
        <v>38</v>
      </c>
      <c r="E5" s="8">
        <v>832808</v>
      </c>
      <c r="F5" s="11">
        <f>Table42[[#This Row],[Invoice value ]]*18%</f>
        <v>149905.44</v>
      </c>
      <c r="G5" s="11">
        <f>Table42[[#This Row],[Invoice value ]]+Table42[[#This Row],[Tax]]</f>
        <v>982713.44</v>
      </c>
      <c r="H5" s="1" t="s">
        <v>24</v>
      </c>
      <c r="I5" s="2">
        <v>45938</v>
      </c>
      <c r="J5" s="2">
        <v>45939</v>
      </c>
      <c r="K5" s="96" t="s">
        <v>111</v>
      </c>
      <c r="L5" s="96" t="s">
        <v>111</v>
      </c>
    </row>
    <row r="6" spans="1:12" x14ac:dyDescent="0.3">
      <c r="A6" s="3">
        <v>5</v>
      </c>
      <c r="B6" s="3" t="s">
        <v>21</v>
      </c>
      <c r="C6" s="1" t="s">
        <v>40</v>
      </c>
      <c r="D6" s="1" t="s">
        <v>39</v>
      </c>
      <c r="E6" s="8">
        <v>44000</v>
      </c>
      <c r="F6" s="11">
        <f>Table42[[#This Row],[Invoice value ]]*18%</f>
        <v>7920</v>
      </c>
      <c r="G6" s="11">
        <f>Table42[[#This Row],[Invoice value ]]+Table42[[#This Row],[Tax]]</f>
        <v>51920</v>
      </c>
      <c r="H6" s="1" t="s">
        <v>24</v>
      </c>
      <c r="I6" s="2">
        <v>45937</v>
      </c>
      <c r="J6" s="2">
        <v>45937</v>
      </c>
      <c r="K6" s="96">
        <v>44000</v>
      </c>
      <c r="L6" s="105">
        <f>Table42[[#This Row],[Invoice value ]]-Table42[[#This Row],[PO value]]</f>
        <v>0</v>
      </c>
    </row>
    <row r="7" spans="1:12" x14ac:dyDescent="0.3">
      <c r="A7" s="3">
        <v>6</v>
      </c>
      <c r="B7" s="3" t="s">
        <v>21</v>
      </c>
      <c r="C7" s="1" t="s">
        <v>43</v>
      </c>
      <c r="D7" s="1" t="s">
        <v>42</v>
      </c>
      <c r="E7" s="8">
        <v>4500</v>
      </c>
      <c r="F7" s="11">
        <f>Table42[[#This Row],[Invoice value ]]*18%</f>
        <v>810</v>
      </c>
      <c r="G7" s="11">
        <f>Table42[[#This Row],[Invoice value ]]+Table42[[#This Row],[Tax]]</f>
        <v>5310</v>
      </c>
      <c r="H7" s="1" t="s">
        <v>24</v>
      </c>
      <c r="I7" s="2">
        <v>45937</v>
      </c>
      <c r="J7" s="2">
        <v>45937</v>
      </c>
      <c r="K7" s="96">
        <v>4500</v>
      </c>
      <c r="L7" s="105">
        <f>Table42[[#This Row],[Invoice value ]]-Table42[[#This Row],[PO value]]</f>
        <v>0</v>
      </c>
    </row>
    <row r="8" spans="1:12" x14ac:dyDescent="0.3">
      <c r="A8" s="3">
        <v>7</v>
      </c>
      <c r="B8" s="3" t="s">
        <v>21</v>
      </c>
      <c r="C8" s="1" t="s">
        <v>43</v>
      </c>
      <c r="D8" s="1" t="s">
        <v>42</v>
      </c>
      <c r="E8" s="8">
        <v>4500</v>
      </c>
      <c r="F8" s="11">
        <f>Table42[[#This Row],[Invoice value ]]*18%</f>
        <v>810</v>
      </c>
      <c r="G8" s="11">
        <f>Table42[[#This Row],[Invoice value ]]+Table42[[#This Row],[Tax]]</f>
        <v>5310</v>
      </c>
      <c r="H8" s="1" t="s">
        <v>24</v>
      </c>
      <c r="I8" s="2">
        <v>45937</v>
      </c>
      <c r="J8" s="2">
        <v>45937</v>
      </c>
      <c r="K8" s="96">
        <v>4500</v>
      </c>
      <c r="L8" s="105">
        <f>Table42[[#This Row],[Invoice value ]]-Table42[[#This Row],[PO value]]</f>
        <v>0</v>
      </c>
    </row>
    <row r="9" spans="1:12" x14ac:dyDescent="0.3">
      <c r="A9" s="3">
        <v>8</v>
      </c>
      <c r="B9" s="3" t="s">
        <v>21</v>
      </c>
      <c r="C9" s="1" t="s">
        <v>43</v>
      </c>
      <c r="D9" s="1" t="s">
        <v>44</v>
      </c>
      <c r="E9" s="8">
        <v>2250</v>
      </c>
      <c r="F9" s="11">
        <f>Table42[[#This Row],[Invoice value ]]*18%</f>
        <v>405</v>
      </c>
      <c r="G9" s="11">
        <f>Table42[[#This Row],[Invoice value ]]+Table42[[#This Row],[Tax]]</f>
        <v>2655</v>
      </c>
      <c r="H9" s="1" t="s">
        <v>24</v>
      </c>
      <c r="I9" s="2">
        <v>45937</v>
      </c>
      <c r="J9" s="2">
        <v>45937</v>
      </c>
      <c r="K9" s="96">
        <v>2250</v>
      </c>
      <c r="L9" s="105">
        <f>Table42[[#This Row],[Invoice value ]]-Table42[[#This Row],[PO value]]</f>
        <v>0</v>
      </c>
    </row>
    <row r="10" spans="1:12" x14ac:dyDescent="0.3">
      <c r="A10" s="3">
        <v>9</v>
      </c>
      <c r="B10" s="3" t="s">
        <v>21</v>
      </c>
      <c r="C10" s="1" t="s">
        <v>46</v>
      </c>
      <c r="D10" s="1" t="s">
        <v>45</v>
      </c>
      <c r="E10" s="8">
        <v>10000</v>
      </c>
      <c r="F10" s="11">
        <f>Table42[[#This Row],[Invoice value ]]*18%</f>
        <v>1800</v>
      </c>
      <c r="G10" s="11">
        <f>Table42[[#This Row],[Invoice value ]]+Table42[[#This Row],[Tax]]</f>
        <v>11800</v>
      </c>
      <c r="H10" s="1" t="s">
        <v>24</v>
      </c>
      <c r="I10" s="2">
        <v>45930</v>
      </c>
      <c r="J10" s="2">
        <v>45930</v>
      </c>
      <c r="K10" s="96">
        <v>10000</v>
      </c>
      <c r="L10" s="105">
        <f>Table42[[#This Row],[Invoice value ]]-Table42[[#This Row],[PO value]]</f>
        <v>0</v>
      </c>
    </row>
    <row r="11" spans="1:12" x14ac:dyDescent="0.3">
      <c r="A11" s="3">
        <v>10</v>
      </c>
      <c r="B11" s="3" t="s">
        <v>47</v>
      </c>
      <c r="C11" s="1" t="s">
        <v>49</v>
      </c>
      <c r="D11" s="1" t="s">
        <v>48</v>
      </c>
      <c r="E11" s="8">
        <v>225</v>
      </c>
      <c r="F11" s="11">
        <f>Table42[[#This Row],[Invoice value ]]*12%</f>
        <v>27</v>
      </c>
      <c r="G11" s="11">
        <f>Table42[[#This Row],[Invoice value ]]+Table42[[#This Row],[Tax]]</f>
        <v>252</v>
      </c>
      <c r="H11" s="1" t="s">
        <v>24</v>
      </c>
      <c r="I11" s="2">
        <v>45938</v>
      </c>
      <c r="J11" s="2">
        <v>45938</v>
      </c>
      <c r="K11" s="96" t="s">
        <v>111</v>
      </c>
      <c r="L11" s="105" t="e">
        <f>Table42[[#This Row],[Invoice value ]]-Table42[[#This Row],[PO value]]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51A6-846E-4D07-A871-F2CF36F7EA2B}">
  <dimension ref="A1:L28"/>
  <sheetViews>
    <sheetView workbookViewId="0">
      <selection activeCell="E11" sqref="E11"/>
    </sheetView>
  </sheetViews>
  <sheetFormatPr defaultRowHeight="14.4" x14ac:dyDescent="0.3"/>
  <cols>
    <col min="2" max="2" width="10.77734375" bestFit="1" customWidth="1"/>
    <col min="3" max="3" width="24.6640625" bestFit="1" customWidth="1"/>
    <col min="4" max="4" width="26.21875" bestFit="1" customWidth="1"/>
    <col min="5" max="7" width="14.44140625" style="9" customWidth="1"/>
    <col min="8" max="8" width="13.44140625" customWidth="1"/>
    <col min="9" max="9" width="10.88671875" customWidth="1"/>
    <col min="10" max="10" width="15.5546875" customWidth="1"/>
    <col min="11" max="11" width="11" bestFit="1" customWidth="1"/>
    <col min="12" max="12" width="11.5546875" customWidth="1"/>
  </cols>
  <sheetData>
    <row r="1" spans="1:12" x14ac:dyDescent="0.3">
      <c r="A1" s="33" t="s">
        <v>0</v>
      </c>
      <c r="B1" s="69" t="s">
        <v>17</v>
      </c>
      <c r="C1" s="34" t="s">
        <v>1</v>
      </c>
      <c r="D1" s="34" t="s">
        <v>2</v>
      </c>
      <c r="E1" s="35" t="s">
        <v>3</v>
      </c>
      <c r="F1" s="35" t="s">
        <v>80</v>
      </c>
      <c r="G1" s="35" t="s">
        <v>79</v>
      </c>
      <c r="H1" s="34" t="s">
        <v>4</v>
      </c>
      <c r="I1" s="34" t="s">
        <v>5</v>
      </c>
      <c r="J1" s="34" t="s">
        <v>6</v>
      </c>
      <c r="K1" s="34" t="s">
        <v>7</v>
      </c>
      <c r="L1" s="36" t="s">
        <v>8</v>
      </c>
    </row>
    <row r="2" spans="1:12" x14ac:dyDescent="0.3">
      <c r="A2" s="37">
        <v>1</v>
      </c>
      <c r="B2" s="1" t="s">
        <v>21</v>
      </c>
      <c r="C2" s="1" t="s">
        <v>99</v>
      </c>
      <c r="D2" s="1" t="s">
        <v>99</v>
      </c>
      <c r="E2" s="8">
        <v>914959</v>
      </c>
      <c r="F2" s="8">
        <v>0</v>
      </c>
      <c r="G2" s="8">
        <v>914959</v>
      </c>
      <c r="H2" s="1" t="s">
        <v>15</v>
      </c>
      <c r="I2" s="2">
        <v>45934</v>
      </c>
      <c r="J2" s="2">
        <v>45936</v>
      </c>
      <c r="K2" s="1" t="s">
        <v>112</v>
      </c>
      <c r="L2" s="38"/>
    </row>
    <row r="3" spans="1:12" x14ac:dyDescent="0.3">
      <c r="A3" s="37">
        <v>2</v>
      </c>
      <c r="B3" s="1" t="s">
        <v>21</v>
      </c>
      <c r="C3" s="1" t="s">
        <v>52</v>
      </c>
      <c r="D3" s="1" t="s">
        <v>87</v>
      </c>
      <c r="E3" s="8">
        <v>88200</v>
      </c>
      <c r="F3" s="8">
        <v>0</v>
      </c>
      <c r="G3" s="8">
        <v>88200</v>
      </c>
      <c r="H3" s="1" t="s">
        <v>15</v>
      </c>
      <c r="I3" s="2">
        <v>45933</v>
      </c>
      <c r="J3" s="2">
        <v>45937</v>
      </c>
      <c r="K3" s="1" t="s">
        <v>112</v>
      </c>
      <c r="L3" s="38"/>
    </row>
    <row r="4" spans="1:12" x14ac:dyDescent="0.3">
      <c r="A4" s="37">
        <v>3</v>
      </c>
      <c r="B4" s="1" t="s">
        <v>21</v>
      </c>
      <c r="C4" s="1" t="s">
        <v>53</v>
      </c>
      <c r="D4" s="1" t="s">
        <v>84</v>
      </c>
      <c r="E4" s="8">
        <v>1500</v>
      </c>
      <c r="F4" s="8">
        <v>0</v>
      </c>
      <c r="G4" s="8">
        <v>1500</v>
      </c>
      <c r="H4" s="1" t="s">
        <v>15</v>
      </c>
      <c r="I4" s="2">
        <v>45937</v>
      </c>
      <c r="J4" s="2">
        <v>45937</v>
      </c>
      <c r="K4" s="1" t="s">
        <v>112</v>
      </c>
      <c r="L4" s="38"/>
    </row>
    <row r="5" spans="1:12" x14ac:dyDescent="0.3">
      <c r="A5" s="37">
        <v>4</v>
      </c>
      <c r="B5" s="1" t="s">
        <v>21</v>
      </c>
      <c r="C5" s="1" t="s">
        <v>53</v>
      </c>
      <c r="D5" s="1" t="s">
        <v>81</v>
      </c>
      <c r="E5" s="8">
        <v>9600</v>
      </c>
      <c r="F5" s="8">
        <v>0</v>
      </c>
      <c r="G5" s="8">
        <v>9600</v>
      </c>
      <c r="H5" s="1" t="s">
        <v>15</v>
      </c>
      <c r="I5" s="2">
        <v>45937</v>
      </c>
      <c r="J5" s="2">
        <v>45937</v>
      </c>
      <c r="K5" s="1" t="s">
        <v>112</v>
      </c>
      <c r="L5" s="38"/>
    </row>
    <row r="6" spans="1:12" x14ac:dyDescent="0.3">
      <c r="A6" s="37">
        <v>5</v>
      </c>
      <c r="B6" s="1" t="s">
        <v>21</v>
      </c>
      <c r="C6" s="1" t="s">
        <v>53</v>
      </c>
      <c r="D6" s="1" t="s">
        <v>86</v>
      </c>
      <c r="E6" s="8">
        <v>29250</v>
      </c>
      <c r="F6" s="8">
        <v>0</v>
      </c>
      <c r="G6" s="8">
        <v>29250</v>
      </c>
      <c r="H6" s="1" t="s">
        <v>15</v>
      </c>
      <c r="I6" s="2">
        <v>45937</v>
      </c>
      <c r="J6" s="2">
        <v>45937</v>
      </c>
      <c r="K6" s="1" t="s">
        <v>112</v>
      </c>
      <c r="L6" s="38"/>
    </row>
    <row r="7" spans="1:12" x14ac:dyDescent="0.3">
      <c r="A7" s="37">
        <v>6</v>
      </c>
      <c r="B7" s="1" t="s">
        <v>21</v>
      </c>
      <c r="C7" s="1" t="s">
        <v>53</v>
      </c>
      <c r="D7" s="1" t="s">
        <v>85</v>
      </c>
      <c r="E7" s="8">
        <v>9000</v>
      </c>
      <c r="F7" s="8">
        <v>0</v>
      </c>
      <c r="G7" s="8">
        <v>9000</v>
      </c>
      <c r="H7" s="1" t="s">
        <v>15</v>
      </c>
      <c r="I7" s="2">
        <v>45937</v>
      </c>
      <c r="J7" s="2">
        <v>45937</v>
      </c>
      <c r="K7" s="1" t="s">
        <v>112</v>
      </c>
      <c r="L7" s="38"/>
    </row>
    <row r="8" spans="1:12" x14ac:dyDescent="0.3">
      <c r="A8" s="37">
        <v>7</v>
      </c>
      <c r="B8" s="1" t="s">
        <v>21</v>
      </c>
      <c r="C8" s="1" t="s">
        <v>82</v>
      </c>
      <c r="D8" s="1" t="s">
        <v>83</v>
      </c>
      <c r="E8" s="8">
        <v>1160397</v>
      </c>
      <c r="F8" s="8">
        <v>0</v>
      </c>
      <c r="G8" s="8">
        <v>1160397</v>
      </c>
      <c r="H8" s="1" t="s">
        <v>15</v>
      </c>
      <c r="I8" s="2">
        <v>45937</v>
      </c>
      <c r="J8" s="2">
        <v>45937</v>
      </c>
      <c r="K8" s="1" t="s">
        <v>112</v>
      </c>
      <c r="L8" s="38"/>
    </row>
    <row r="9" spans="1:12" x14ac:dyDescent="0.3">
      <c r="A9" s="37">
        <v>8</v>
      </c>
      <c r="B9" s="1" t="s">
        <v>21</v>
      </c>
      <c r="C9" s="1" t="s">
        <v>34</v>
      </c>
      <c r="D9" s="1" t="s">
        <v>37</v>
      </c>
      <c r="E9" s="8">
        <v>528303</v>
      </c>
      <c r="F9" s="8">
        <f>Table3[[#This Row],[Invoice value ]]*18%</f>
        <v>95094.54</v>
      </c>
      <c r="G9" s="8">
        <f>Table3[[#This Row],[Invoice value ]]+Table3[[#This Row],[Tax]]</f>
        <v>623397.54</v>
      </c>
      <c r="H9" s="1" t="s">
        <v>15</v>
      </c>
      <c r="I9" s="2">
        <v>45937</v>
      </c>
      <c r="J9" s="2">
        <v>45938</v>
      </c>
      <c r="K9" s="1" t="s">
        <v>112</v>
      </c>
      <c r="L9" s="38"/>
    </row>
    <row r="10" spans="1:12" x14ac:dyDescent="0.3">
      <c r="A10" s="37">
        <v>9</v>
      </c>
      <c r="B10" s="1" t="s">
        <v>47</v>
      </c>
      <c r="C10" s="1" t="s">
        <v>98</v>
      </c>
      <c r="D10" s="1" t="s">
        <v>98</v>
      </c>
      <c r="E10" s="8">
        <v>17463</v>
      </c>
      <c r="F10" s="8">
        <v>0</v>
      </c>
      <c r="G10" s="8">
        <v>17463</v>
      </c>
      <c r="H10" s="1" t="s">
        <v>15</v>
      </c>
      <c r="I10" s="2">
        <v>45939</v>
      </c>
      <c r="J10" s="2">
        <v>45939</v>
      </c>
      <c r="K10" s="1" t="s">
        <v>112</v>
      </c>
      <c r="L10" s="38"/>
    </row>
    <row r="11" spans="1:12" x14ac:dyDescent="0.3">
      <c r="A11" s="37">
        <v>9</v>
      </c>
      <c r="B11" s="1" t="s">
        <v>47</v>
      </c>
      <c r="C11" s="1" t="s">
        <v>98</v>
      </c>
      <c r="D11" s="1" t="s">
        <v>98</v>
      </c>
      <c r="E11" s="8">
        <v>3048</v>
      </c>
      <c r="F11" s="8">
        <v>0</v>
      </c>
      <c r="G11" s="8">
        <v>3048</v>
      </c>
      <c r="H11" s="1" t="s">
        <v>15</v>
      </c>
      <c r="I11" s="2">
        <v>45939</v>
      </c>
      <c r="J11" s="2">
        <v>45939</v>
      </c>
      <c r="K11" s="1" t="s">
        <v>112</v>
      </c>
      <c r="L11" s="38"/>
    </row>
    <row r="12" spans="1:12" x14ac:dyDescent="0.3">
      <c r="A12" s="37"/>
      <c r="B12" s="1"/>
      <c r="C12" s="1"/>
      <c r="D12" s="1"/>
      <c r="E12" s="8"/>
      <c r="F12" s="8"/>
      <c r="G12" s="8"/>
      <c r="H12" s="1"/>
      <c r="I12" s="2"/>
      <c r="J12" s="2"/>
      <c r="K12" s="1"/>
      <c r="L12" s="38"/>
    </row>
    <row r="13" spans="1:12" x14ac:dyDescent="0.3">
      <c r="A13" s="37"/>
      <c r="B13" s="1"/>
      <c r="C13" s="1"/>
      <c r="D13" s="1"/>
      <c r="E13" s="8"/>
      <c r="F13" s="8"/>
      <c r="G13" s="8"/>
      <c r="H13" s="1"/>
      <c r="I13" s="2"/>
      <c r="J13" s="2"/>
      <c r="K13" s="1"/>
      <c r="L13" s="38"/>
    </row>
    <row r="14" spans="1:12" x14ac:dyDescent="0.3">
      <c r="A14" s="1"/>
      <c r="B14" s="1"/>
      <c r="C14" s="1"/>
      <c r="D14" s="1"/>
      <c r="E14" s="8"/>
      <c r="F14" s="8"/>
      <c r="G14" s="8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8"/>
      <c r="F15" s="8"/>
      <c r="G15" s="8"/>
      <c r="H15" s="1"/>
      <c r="I15" s="8"/>
      <c r="J15" s="1"/>
      <c r="K15" s="1"/>
      <c r="L15" s="1"/>
    </row>
    <row r="16" spans="1:12" x14ac:dyDescent="0.3">
      <c r="A16" s="1"/>
      <c r="B16" s="1"/>
      <c r="C16" s="1"/>
      <c r="D16" s="1"/>
      <c r="E16" s="8"/>
      <c r="F16" s="8"/>
      <c r="G16" s="8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8"/>
      <c r="F17" s="8"/>
      <c r="G17" s="8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8"/>
      <c r="F18" s="8"/>
      <c r="G18" s="8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8"/>
      <c r="F19" s="8"/>
      <c r="G19" s="8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8"/>
      <c r="F20" s="8"/>
      <c r="G20" s="8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8"/>
      <c r="F21" s="8"/>
      <c r="G21" s="8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8"/>
      <c r="F22" s="8"/>
      <c r="G22" s="8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8"/>
      <c r="F23" s="8"/>
      <c r="G23" s="8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8"/>
      <c r="F24" s="8"/>
      <c r="G24" s="8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8"/>
      <c r="F25" s="8"/>
      <c r="G25" s="8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8"/>
      <c r="F26" s="8"/>
      <c r="G26" s="8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8"/>
      <c r="F27" s="8"/>
      <c r="G27" s="8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8"/>
      <c r="F28" s="8"/>
      <c r="G28" s="8"/>
      <c r="H28" s="1"/>
      <c r="I28" s="1"/>
      <c r="J28" s="1"/>
      <c r="K28" s="1"/>
      <c r="L28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F8FC-188B-47ED-99A0-4C3A98EA9955}">
  <dimension ref="A1:L9"/>
  <sheetViews>
    <sheetView workbookViewId="0">
      <selection activeCell="D4" sqref="D4"/>
    </sheetView>
  </sheetViews>
  <sheetFormatPr defaultRowHeight="14.4" x14ac:dyDescent="0.3"/>
  <cols>
    <col min="2" max="2" width="29.5546875" bestFit="1" customWidth="1"/>
    <col min="3" max="3" width="28.6640625" bestFit="1" customWidth="1"/>
    <col min="4" max="4" width="12.5546875" bestFit="1" customWidth="1"/>
    <col min="5" max="5" width="11.88671875" bestFit="1" customWidth="1"/>
    <col min="6" max="6" width="16.109375" bestFit="1" customWidth="1"/>
    <col min="7" max="7" width="11.5546875" bestFit="1" customWidth="1"/>
    <col min="8" max="8" width="10.33203125" bestFit="1" customWidth="1"/>
    <col min="9" max="9" width="13.77734375" bestFit="1" customWidth="1"/>
    <col min="11" max="11" width="9.6640625" bestFit="1" customWidth="1"/>
  </cols>
  <sheetData>
    <row r="1" spans="1:12" x14ac:dyDescent="0.3">
      <c r="A1" s="15" t="s">
        <v>0</v>
      </c>
      <c r="B1" s="15" t="s">
        <v>1</v>
      </c>
      <c r="C1" s="15" t="s">
        <v>2</v>
      </c>
      <c r="D1" s="16" t="s">
        <v>3</v>
      </c>
      <c r="E1" s="16" t="s">
        <v>80</v>
      </c>
      <c r="F1" s="16" t="s">
        <v>79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</row>
    <row r="2" spans="1:12" s="14" customFormat="1" x14ac:dyDescent="0.3">
      <c r="A2" s="13">
        <v>1</v>
      </c>
      <c r="B2" s="13" t="s">
        <v>88</v>
      </c>
      <c r="C2" s="13" t="s">
        <v>89</v>
      </c>
      <c r="D2" s="12">
        <v>12153.78</v>
      </c>
      <c r="E2" s="12">
        <f>Table2[[#This Row],[Invoice value ]]*18%</f>
        <v>118303.92</v>
      </c>
      <c r="F2" s="12">
        <f>Table2[[#This Row],[Invoice value ]]+Table2[[#This Row],[Tax]]</f>
        <v>775547.92</v>
      </c>
      <c r="G2" s="13" t="s">
        <v>11</v>
      </c>
      <c r="H2" s="17">
        <v>45937</v>
      </c>
      <c r="I2" s="17">
        <v>45937</v>
      </c>
      <c r="J2" s="13"/>
      <c r="K2" s="13"/>
    </row>
    <row r="3" spans="1:12" s="14" customFormat="1" x14ac:dyDescent="0.3">
      <c r="A3" s="13">
        <v>2</v>
      </c>
      <c r="B3" s="13" t="s">
        <v>90</v>
      </c>
      <c r="C3" s="13" t="s">
        <v>91</v>
      </c>
      <c r="D3" s="12">
        <v>40600</v>
      </c>
      <c r="E3" s="12">
        <f>D3*18%</f>
        <v>7308</v>
      </c>
      <c r="F3" s="12">
        <f>D3+E3</f>
        <v>47908</v>
      </c>
      <c r="G3" s="13" t="s">
        <v>14</v>
      </c>
      <c r="H3" s="17">
        <v>45937</v>
      </c>
      <c r="I3" s="17">
        <v>45937</v>
      </c>
      <c r="J3" s="13"/>
      <c r="K3" s="13"/>
    </row>
    <row r="4" spans="1:12" s="14" customFormat="1" x14ac:dyDescent="0.3">
      <c r="A4" s="13">
        <v>3</v>
      </c>
      <c r="B4" s="13" t="s">
        <v>115</v>
      </c>
      <c r="C4" s="13" t="s">
        <v>119</v>
      </c>
      <c r="D4" s="12">
        <v>22175</v>
      </c>
      <c r="E4" s="12">
        <f t="shared" ref="E4:E9" si="0">D4*18%</f>
        <v>3991.5</v>
      </c>
      <c r="F4" s="12">
        <f t="shared" ref="F4:F9" si="1">D4+E4</f>
        <v>26166.5</v>
      </c>
      <c r="G4" s="13" t="s">
        <v>14</v>
      </c>
      <c r="H4" s="17">
        <v>45951</v>
      </c>
      <c r="I4" s="17">
        <v>45954</v>
      </c>
      <c r="J4" s="13"/>
      <c r="K4" s="13"/>
    </row>
    <row r="5" spans="1:12" s="14" customFormat="1" x14ac:dyDescent="0.3">
      <c r="A5" s="13">
        <v>4</v>
      </c>
      <c r="B5" s="13" t="s">
        <v>115</v>
      </c>
      <c r="C5" s="13" t="s">
        <v>119</v>
      </c>
      <c r="D5" s="12">
        <v>57255</v>
      </c>
      <c r="E5" s="12">
        <f t="shared" si="0"/>
        <v>10305.9</v>
      </c>
      <c r="F5" s="12">
        <f t="shared" si="1"/>
        <v>67560.899999999994</v>
      </c>
      <c r="G5" s="13" t="s">
        <v>14</v>
      </c>
      <c r="H5" s="17">
        <v>45951</v>
      </c>
      <c r="I5" s="17">
        <v>45954</v>
      </c>
      <c r="J5" s="13"/>
      <c r="K5" s="13"/>
    </row>
    <row r="6" spans="1:12" s="14" customFormat="1" x14ac:dyDescent="0.3">
      <c r="A6" s="13">
        <v>5</v>
      </c>
      <c r="B6" s="13" t="s">
        <v>115</v>
      </c>
      <c r="C6" s="13" t="s">
        <v>119</v>
      </c>
      <c r="D6" s="12">
        <v>219024</v>
      </c>
      <c r="E6" s="12">
        <f t="shared" si="0"/>
        <v>39424.32</v>
      </c>
      <c r="F6" s="12">
        <f t="shared" si="1"/>
        <v>258448.32</v>
      </c>
      <c r="G6" s="13" t="s">
        <v>14</v>
      </c>
      <c r="H6" s="17">
        <v>45951</v>
      </c>
      <c r="I6" s="17">
        <v>45954</v>
      </c>
      <c r="J6" s="13"/>
      <c r="K6" s="13"/>
    </row>
    <row r="7" spans="1:12" s="14" customFormat="1" x14ac:dyDescent="0.3">
      <c r="A7" s="13">
        <v>5</v>
      </c>
      <c r="B7" s="13" t="s">
        <v>115</v>
      </c>
      <c r="C7" s="13" t="s">
        <v>118</v>
      </c>
      <c r="D7" s="12">
        <v>165000</v>
      </c>
      <c r="E7" s="12">
        <f t="shared" si="0"/>
        <v>29700</v>
      </c>
      <c r="F7" s="12">
        <f t="shared" si="1"/>
        <v>194700</v>
      </c>
      <c r="G7" s="13" t="s">
        <v>14</v>
      </c>
      <c r="H7" s="17">
        <v>45952</v>
      </c>
      <c r="I7" s="17">
        <v>45952</v>
      </c>
      <c r="J7" s="13"/>
      <c r="K7" s="13"/>
    </row>
    <row r="8" spans="1:12" s="14" customFormat="1" x14ac:dyDescent="0.3">
      <c r="A8" s="13">
        <v>6</v>
      </c>
      <c r="B8" s="13" t="s">
        <v>116</v>
      </c>
      <c r="C8" s="13" t="s">
        <v>117</v>
      </c>
      <c r="D8" s="12">
        <v>92990</v>
      </c>
      <c r="E8" s="12">
        <v>0</v>
      </c>
      <c r="F8" s="12">
        <v>92990</v>
      </c>
      <c r="G8" s="13" t="s">
        <v>14</v>
      </c>
      <c r="H8" s="17">
        <v>45952</v>
      </c>
      <c r="I8" s="17">
        <v>45952</v>
      </c>
      <c r="J8" s="13"/>
      <c r="K8" s="13"/>
    </row>
    <row r="9" spans="1:12" s="14" customFormat="1" x14ac:dyDescent="0.3">
      <c r="A9" s="13">
        <v>7</v>
      </c>
      <c r="B9" s="13" t="s">
        <v>88</v>
      </c>
      <c r="C9" s="13" t="s">
        <v>89</v>
      </c>
      <c r="D9" s="12">
        <v>2457</v>
      </c>
      <c r="E9" s="12">
        <f t="shared" si="0"/>
        <v>442.26</v>
      </c>
      <c r="F9" s="12">
        <f t="shared" si="1"/>
        <v>2899.26</v>
      </c>
      <c r="G9" s="13" t="s">
        <v>11</v>
      </c>
      <c r="H9" s="17">
        <v>45945</v>
      </c>
      <c r="I9" s="17">
        <v>45953</v>
      </c>
      <c r="J9" s="13"/>
      <c r="K9" s="13"/>
      <c r="L9" s="14">
        <v>2542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59CF-3617-4B10-B040-5A8CE1989BFC}">
  <dimension ref="A1:I56"/>
  <sheetViews>
    <sheetView workbookViewId="0">
      <selection activeCell="C9" sqref="C9"/>
    </sheetView>
  </sheetViews>
  <sheetFormatPr defaultRowHeight="14.4" x14ac:dyDescent="0.3"/>
  <cols>
    <col min="1" max="1" width="9.44140625" style="77" bestFit="1" customWidth="1"/>
    <col min="2" max="2" width="38.44140625" style="77" customWidth="1"/>
    <col min="3" max="3" width="44.88671875" style="77" bestFit="1" customWidth="1"/>
    <col min="4" max="4" width="11.6640625" style="77" bestFit="1" customWidth="1"/>
    <col min="5" max="5" width="11.6640625" style="82" bestFit="1" customWidth="1"/>
    <col min="6" max="6" width="26.5546875" style="82" customWidth="1"/>
    <col min="7" max="7" width="8.88671875" style="77"/>
    <col min="8" max="8" width="19.77734375" style="77" bestFit="1" customWidth="1"/>
    <col min="9" max="16384" width="8.88671875" style="77"/>
  </cols>
  <sheetData>
    <row r="1" spans="1:9" x14ac:dyDescent="0.3">
      <c r="A1" s="70" t="s">
        <v>17</v>
      </c>
      <c r="B1" s="70" t="s">
        <v>18</v>
      </c>
      <c r="C1" s="70" t="s">
        <v>19</v>
      </c>
      <c r="D1" s="70" t="s">
        <v>20</v>
      </c>
      <c r="E1" s="71">
        <v>45901</v>
      </c>
      <c r="F1" s="76" t="s">
        <v>105</v>
      </c>
    </row>
    <row r="2" spans="1:9" x14ac:dyDescent="0.3">
      <c r="A2" s="72" t="s">
        <v>21</v>
      </c>
      <c r="B2" s="72" t="s">
        <v>22</v>
      </c>
      <c r="C2" s="72" t="s">
        <v>23</v>
      </c>
      <c r="D2" s="72" t="s">
        <v>24</v>
      </c>
      <c r="E2" s="75" t="s">
        <v>95</v>
      </c>
      <c r="F2" s="73"/>
      <c r="H2" s="84" t="s">
        <v>104</v>
      </c>
      <c r="I2" s="85">
        <v>53</v>
      </c>
    </row>
    <row r="3" spans="1:9" x14ac:dyDescent="0.3">
      <c r="A3" s="72" t="s">
        <v>21</v>
      </c>
      <c r="B3" s="72" t="s">
        <v>25</v>
      </c>
      <c r="C3" s="72" t="s">
        <v>26</v>
      </c>
      <c r="D3" s="72" t="s">
        <v>24</v>
      </c>
      <c r="E3" s="75" t="s">
        <v>95</v>
      </c>
      <c r="F3" s="73"/>
      <c r="H3" s="86" t="s">
        <v>102</v>
      </c>
      <c r="I3" s="87">
        <v>53</v>
      </c>
    </row>
    <row r="4" spans="1:9" x14ac:dyDescent="0.3">
      <c r="A4" s="72" t="s">
        <v>21</v>
      </c>
      <c r="B4" s="72" t="s">
        <v>27</v>
      </c>
      <c r="C4" s="72" t="s">
        <v>28</v>
      </c>
      <c r="D4" s="72" t="s">
        <v>24</v>
      </c>
      <c r="E4" s="75" t="s">
        <v>95</v>
      </c>
      <c r="F4" s="73"/>
      <c r="H4" s="88" t="s">
        <v>103</v>
      </c>
      <c r="I4" s="89">
        <f>I2-I3</f>
        <v>0</v>
      </c>
    </row>
    <row r="5" spans="1:9" x14ac:dyDescent="0.3">
      <c r="A5" s="72" t="s">
        <v>21</v>
      </c>
      <c r="B5" s="72" t="s">
        <v>38</v>
      </c>
      <c r="C5" s="72" t="s">
        <v>34</v>
      </c>
      <c r="D5" s="72" t="s">
        <v>24</v>
      </c>
      <c r="E5" s="75" t="s">
        <v>95</v>
      </c>
      <c r="F5" s="73"/>
    </row>
    <row r="6" spans="1:9" x14ac:dyDescent="0.3">
      <c r="A6" s="72" t="s">
        <v>21</v>
      </c>
      <c r="B6" s="72" t="s">
        <v>39</v>
      </c>
      <c r="C6" s="72" t="s">
        <v>40</v>
      </c>
      <c r="D6" s="72" t="s">
        <v>24</v>
      </c>
      <c r="E6" s="75" t="s">
        <v>95</v>
      </c>
      <c r="F6" s="73"/>
    </row>
    <row r="7" spans="1:9" x14ac:dyDescent="0.3">
      <c r="A7" s="72" t="s">
        <v>21</v>
      </c>
      <c r="B7" s="72" t="s">
        <v>42</v>
      </c>
      <c r="C7" s="72" t="s">
        <v>43</v>
      </c>
      <c r="D7" s="72" t="s">
        <v>24</v>
      </c>
      <c r="E7" s="75" t="s">
        <v>95</v>
      </c>
      <c r="F7" s="73"/>
    </row>
    <row r="8" spans="1:9" x14ac:dyDescent="0.3">
      <c r="A8" s="72" t="s">
        <v>21</v>
      </c>
      <c r="B8" s="72" t="s">
        <v>42</v>
      </c>
      <c r="C8" s="72" t="s">
        <v>43</v>
      </c>
      <c r="D8" s="72" t="s">
        <v>24</v>
      </c>
      <c r="E8" s="75" t="s">
        <v>95</v>
      </c>
      <c r="F8" s="73"/>
    </row>
    <row r="9" spans="1:9" x14ac:dyDescent="0.3">
      <c r="A9" s="72" t="s">
        <v>21</v>
      </c>
      <c r="B9" s="72" t="s">
        <v>44</v>
      </c>
      <c r="C9" s="72" t="s">
        <v>43</v>
      </c>
      <c r="D9" s="72" t="s">
        <v>24</v>
      </c>
      <c r="E9" s="75" t="s">
        <v>95</v>
      </c>
      <c r="F9" s="73"/>
    </row>
    <row r="10" spans="1:9" x14ac:dyDescent="0.3">
      <c r="A10" s="72" t="s">
        <v>21</v>
      </c>
      <c r="B10" s="72" t="s">
        <v>45</v>
      </c>
      <c r="C10" s="72" t="s">
        <v>46</v>
      </c>
      <c r="D10" s="72" t="s">
        <v>24</v>
      </c>
      <c r="E10" s="75" t="s">
        <v>95</v>
      </c>
      <c r="F10" s="73"/>
    </row>
    <row r="11" spans="1:9" x14ac:dyDescent="0.3">
      <c r="A11" s="72" t="s">
        <v>47</v>
      </c>
      <c r="B11" s="72" t="s">
        <v>48</v>
      </c>
      <c r="C11" s="72" t="s">
        <v>49</v>
      </c>
      <c r="D11" s="72" t="s">
        <v>24</v>
      </c>
      <c r="E11" s="75" t="s">
        <v>95</v>
      </c>
      <c r="F11" s="73"/>
    </row>
    <row r="12" spans="1:9" x14ac:dyDescent="0.3">
      <c r="A12" s="74" t="s">
        <v>21</v>
      </c>
      <c r="B12" s="74" t="s">
        <v>51</v>
      </c>
      <c r="C12" s="74" t="s">
        <v>52</v>
      </c>
      <c r="D12" s="74" t="s">
        <v>14</v>
      </c>
      <c r="E12" s="75" t="s">
        <v>95</v>
      </c>
      <c r="F12" s="73"/>
    </row>
    <row r="13" spans="1:9" x14ac:dyDescent="0.3">
      <c r="A13" s="74" t="s">
        <v>21</v>
      </c>
      <c r="B13" s="74" t="s">
        <v>96</v>
      </c>
      <c r="C13" s="74" t="s">
        <v>53</v>
      </c>
      <c r="D13" s="74" t="s">
        <v>14</v>
      </c>
      <c r="E13" s="75" t="s">
        <v>95</v>
      </c>
      <c r="F13" s="73"/>
    </row>
    <row r="14" spans="1:9" x14ac:dyDescent="0.3">
      <c r="A14" s="74" t="s">
        <v>21</v>
      </c>
      <c r="B14" s="74" t="s">
        <v>81</v>
      </c>
      <c r="C14" s="74" t="s">
        <v>53</v>
      </c>
      <c r="D14" s="74" t="s">
        <v>14</v>
      </c>
      <c r="E14" s="75" t="s">
        <v>95</v>
      </c>
      <c r="F14" s="73"/>
    </row>
    <row r="15" spans="1:9" x14ac:dyDescent="0.3">
      <c r="A15" s="74" t="s">
        <v>21</v>
      </c>
      <c r="B15" s="74" t="s">
        <v>97</v>
      </c>
      <c r="C15" s="74" t="s">
        <v>53</v>
      </c>
      <c r="D15" s="74" t="s">
        <v>14</v>
      </c>
      <c r="E15" s="75" t="s">
        <v>95</v>
      </c>
      <c r="F15" s="73"/>
    </row>
    <row r="16" spans="1:9" x14ac:dyDescent="0.3">
      <c r="A16" s="74" t="s">
        <v>21</v>
      </c>
      <c r="B16" s="74" t="s">
        <v>86</v>
      </c>
      <c r="C16" s="74" t="s">
        <v>53</v>
      </c>
      <c r="D16" s="74" t="s">
        <v>14</v>
      </c>
      <c r="E16" s="75" t="s">
        <v>95</v>
      </c>
      <c r="F16" s="73"/>
    </row>
    <row r="17" spans="1:6" x14ac:dyDescent="0.3">
      <c r="A17" s="74" t="s">
        <v>21</v>
      </c>
      <c r="B17" s="74" t="s">
        <v>37</v>
      </c>
      <c r="C17" s="74" t="s">
        <v>34</v>
      </c>
      <c r="D17" s="74" t="s">
        <v>14</v>
      </c>
      <c r="E17" s="75" t="s">
        <v>95</v>
      </c>
      <c r="F17" s="73"/>
    </row>
    <row r="18" spans="1:6" x14ac:dyDescent="0.3">
      <c r="A18" s="74" t="s">
        <v>21</v>
      </c>
      <c r="B18" s="74" t="s">
        <v>82</v>
      </c>
      <c r="C18" s="74" t="s">
        <v>83</v>
      </c>
      <c r="D18" s="74" t="s">
        <v>14</v>
      </c>
      <c r="E18" s="75" t="s">
        <v>95</v>
      </c>
      <c r="F18" s="73"/>
    </row>
    <row r="19" spans="1:6" x14ac:dyDescent="0.3">
      <c r="A19" s="74" t="s">
        <v>21</v>
      </c>
      <c r="B19" s="74" t="s">
        <v>13</v>
      </c>
      <c r="C19" s="74" t="s">
        <v>94</v>
      </c>
      <c r="D19" s="74" t="s">
        <v>14</v>
      </c>
      <c r="E19" s="75" t="s">
        <v>95</v>
      </c>
      <c r="F19" s="73"/>
    </row>
    <row r="20" spans="1:6" x14ac:dyDescent="0.3">
      <c r="A20" s="74" t="s">
        <v>47</v>
      </c>
      <c r="B20" s="74" t="s">
        <v>13</v>
      </c>
      <c r="C20" s="74" t="s">
        <v>94</v>
      </c>
      <c r="D20" s="74" t="s">
        <v>14</v>
      </c>
      <c r="E20" s="75" t="s">
        <v>95</v>
      </c>
      <c r="F20" s="73"/>
    </row>
    <row r="21" spans="1:6" x14ac:dyDescent="0.3">
      <c r="A21" s="74" t="s">
        <v>47</v>
      </c>
      <c r="B21" s="74" t="s">
        <v>13</v>
      </c>
      <c r="C21" s="74" t="s">
        <v>94</v>
      </c>
      <c r="D21" s="74" t="s">
        <v>14</v>
      </c>
      <c r="E21" s="75" t="s">
        <v>95</v>
      </c>
      <c r="F21" s="73"/>
    </row>
    <row r="22" spans="1:6" x14ac:dyDescent="0.3">
      <c r="A22" s="78" t="s">
        <v>21</v>
      </c>
      <c r="B22" s="78" t="s">
        <v>9</v>
      </c>
      <c r="C22" s="78" t="s">
        <v>10</v>
      </c>
      <c r="D22" s="78" t="s">
        <v>11</v>
      </c>
      <c r="E22" s="75" t="s">
        <v>95</v>
      </c>
      <c r="F22" s="83"/>
    </row>
    <row r="23" spans="1:6" x14ac:dyDescent="0.3">
      <c r="A23" s="78" t="s">
        <v>21</v>
      </c>
      <c r="B23" s="78" t="s">
        <v>9</v>
      </c>
      <c r="C23" s="78" t="s">
        <v>12</v>
      </c>
      <c r="D23" s="78" t="s">
        <v>11</v>
      </c>
      <c r="E23" s="75" t="s">
        <v>95</v>
      </c>
      <c r="F23" s="83"/>
    </row>
    <row r="24" spans="1:6" x14ac:dyDescent="0.3">
      <c r="A24" s="78" t="s">
        <v>21</v>
      </c>
      <c r="B24" s="78" t="s">
        <v>74</v>
      </c>
      <c r="C24" s="78" t="s">
        <v>73</v>
      </c>
      <c r="D24" s="78" t="s">
        <v>11</v>
      </c>
      <c r="E24" s="75" t="s">
        <v>95</v>
      </c>
      <c r="F24" s="83"/>
    </row>
    <row r="25" spans="1:6" x14ac:dyDescent="0.3">
      <c r="A25" s="78" t="s">
        <v>21</v>
      </c>
      <c r="B25" s="78" t="s">
        <v>16</v>
      </c>
      <c r="C25" s="78" t="s">
        <v>57</v>
      </c>
      <c r="D25" s="78" t="s">
        <v>11</v>
      </c>
      <c r="E25" s="75" t="s">
        <v>95</v>
      </c>
      <c r="F25" s="83"/>
    </row>
    <row r="26" spans="1:6" x14ac:dyDescent="0.3">
      <c r="A26" s="78" t="s">
        <v>21</v>
      </c>
      <c r="B26" s="78" t="s">
        <v>16</v>
      </c>
      <c r="C26" s="78" t="s">
        <v>57</v>
      </c>
      <c r="D26" s="78" t="s">
        <v>11</v>
      </c>
      <c r="E26" s="75" t="s">
        <v>95</v>
      </c>
      <c r="F26" s="83"/>
    </row>
    <row r="27" spans="1:6" x14ac:dyDescent="0.3">
      <c r="A27" s="78" t="s">
        <v>21</v>
      </c>
      <c r="B27" s="78" t="s">
        <v>55</v>
      </c>
      <c r="C27" s="78" t="s">
        <v>54</v>
      </c>
      <c r="D27" s="78" t="s">
        <v>11</v>
      </c>
      <c r="E27" s="75" t="s">
        <v>95</v>
      </c>
      <c r="F27" s="73"/>
    </row>
    <row r="28" spans="1:6" x14ac:dyDescent="0.3">
      <c r="A28" s="78" t="s">
        <v>21</v>
      </c>
      <c r="B28" s="78" t="s">
        <v>55</v>
      </c>
      <c r="C28" s="78" t="s">
        <v>12</v>
      </c>
      <c r="D28" s="78" t="s">
        <v>11</v>
      </c>
      <c r="E28" s="75" t="s">
        <v>95</v>
      </c>
      <c r="F28" s="73"/>
    </row>
    <row r="29" spans="1:6" x14ac:dyDescent="0.3">
      <c r="A29" s="78" t="s">
        <v>21</v>
      </c>
      <c r="B29" s="78" t="s">
        <v>56</v>
      </c>
      <c r="C29" s="78" t="s">
        <v>54</v>
      </c>
      <c r="D29" s="78" t="s">
        <v>11</v>
      </c>
      <c r="E29" s="75" t="s">
        <v>95</v>
      </c>
      <c r="F29" s="83"/>
    </row>
    <row r="30" spans="1:6" x14ac:dyDescent="0.3">
      <c r="A30" s="78" t="s">
        <v>21</v>
      </c>
      <c r="B30" s="78" t="s">
        <v>56</v>
      </c>
      <c r="C30" s="78" t="s">
        <v>12</v>
      </c>
      <c r="D30" s="78" t="s">
        <v>11</v>
      </c>
      <c r="E30" s="75" t="s">
        <v>95</v>
      </c>
      <c r="F30" s="83"/>
    </row>
    <row r="31" spans="1:6" x14ac:dyDescent="0.3">
      <c r="A31" s="78" t="s">
        <v>21</v>
      </c>
      <c r="B31" s="78" t="s">
        <v>65</v>
      </c>
      <c r="C31" s="78" t="s">
        <v>54</v>
      </c>
      <c r="D31" s="78" t="s">
        <v>11</v>
      </c>
      <c r="E31" s="75" t="s">
        <v>95</v>
      </c>
      <c r="F31" s="73"/>
    </row>
    <row r="32" spans="1:6" x14ac:dyDescent="0.3">
      <c r="A32" s="78" t="s">
        <v>21</v>
      </c>
      <c r="B32" s="78" t="s">
        <v>65</v>
      </c>
      <c r="C32" s="78" t="s">
        <v>12</v>
      </c>
      <c r="D32" s="78" t="s">
        <v>11</v>
      </c>
      <c r="E32" s="75" t="s">
        <v>95</v>
      </c>
      <c r="F32" s="73"/>
    </row>
    <row r="33" spans="1:6" x14ac:dyDescent="0.3">
      <c r="A33" s="78" t="s">
        <v>50</v>
      </c>
      <c r="B33" s="78" t="s">
        <v>93</v>
      </c>
      <c r="C33" s="78" t="s">
        <v>54</v>
      </c>
      <c r="D33" s="78" t="s">
        <v>11</v>
      </c>
      <c r="E33" s="75" t="s">
        <v>95</v>
      </c>
      <c r="F33" s="83"/>
    </row>
    <row r="34" spans="1:6" x14ac:dyDescent="0.3">
      <c r="A34" s="78" t="s">
        <v>21</v>
      </c>
      <c r="B34" s="78" t="s">
        <v>106</v>
      </c>
      <c r="C34" s="78" t="s">
        <v>54</v>
      </c>
      <c r="D34" s="78" t="s">
        <v>11</v>
      </c>
      <c r="E34" s="75" t="s">
        <v>95</v>
      </c>
      <c r="F34" s="83"/>
    </row>
    <row r="35" spans="1:6" x14ac:dyDescent="0.3">
      <c r="A35" s="78" t="s">
        <v>21</v>
      </c>
      <c r="B35" s="78" t="s">
        <v>71</v>
      </c>
      <c r="C35" s="78" t="s">
        <v>54</v>
      </c>
      <c r="D35" s="78" t="s">
        <v>11</v>
      </c>
      <c r="E35" s="75" t="s">
        <v>95</v>
      </c>
      <c r="F35" s="83"/>
    </row>
    <row r="36" spans="1:6" x14ac:dyDescent="0.3">
      <c r="A36" s="78" t="s">
        <v>21</v>
      </c>
      <c r="B36" s="78" t="s">
        <v>72</v>
      </c>
      <c r="C36" s="78" t="s">
        <v>54</v>
      </c>
      <c r="D36" s="78" t="s">
        <v>11</v>
      </c>
      <c r="E36" s="75" t="s">
        <v>95</v>
      </c>
      <c r="F36" s="73"/>
    </row>
    <row r="37" spans="1:6" x14ac:dyDescent="0.3">
      <c r="A37" s="78" t="s">
        <v>21</v>
      </c>
      <c r="B37" s="78" t="s">
        <v>70</v>
      </c>
      <c r="C37" s="78" t="s">
        <v>54</v>
      </c>
      <c r="D37" s="78" t="s">
        <v>11</v>
      </c>
      <c r="E37" s="75" t="s">
        <v>95</v>
      </c>
      <c r="F37" s="83"/>
    </row>
    <row r="38" spans="1:6" x14ac:dyDescent="0.3">
      <c r="A38" s="78" t="s">
        <v>21</v>
      </c>
      <c r="B38" s="78" t="s">
        <v>64</v>
      </c>
      <c r="C38" s="78" t="s">
        <v>63</v>
      </c>
      <c r="D38" s="78" t="s">
        <v>11</v>
      </c>
      <c r="E38" s="75" t="s">
        <v>95</v>
      </c>
      <c r="F38" s="83"/>
    </row>
    <row r="39" spans="1:6" x14ac:dyDescent="0.3">
      <c r="A39" s="78" t="s">
        <v>21</v>
      </c>
      <c r="B39" s="78" t="s">
        <v>78</v>
      </c>
      <c r="C39" s="78" t="s">
        <v>77</v>
      </c>
      <c r="D39" s="78" t="s">
        <v>11</v>
      </c>
      <c r="E39" s="75" t="s">
        <v>95</v>
      </c>
      <c r="F39" s="83"/>
    </row>
    <row r="40" spans="1:6" x14ac:dyDescent="0.3">
      <c r="A40" s="79" t="s">
        <v>21</v>
      </c>
      <c r="B40" s="79" t="s">
        <v>76</v>
      </c>
      <c r="C40" s="79" t="s">
        <v>75</v>
      </c>
      <c r="D40" s="79" t="s">
        <v>11</v>
      </c>
      <c r="E40" s="75" t="s">
        <v>95</v>
      </c>
      <c r="F40" s="73"/>
    </row>
    <row r="41" spans="1:6" x14ac:dyDescent="0.3">
      <c r="A41" s="79" t="s">
        <v>21</v>
      </c>
      <c r="B41" s="79" t="s">
        <v>107</v>
      </c>
      <c r="C41" s="79" t="s">
        <v>108</v>
      </c>
      <c r="D41" s="79" t="s">
        <v>11</v>
      </c>
      <c r="E41" s="75" t="s">
        <v>95</v>
      </c>
      <c r="F41" s="73"/>
    </row>
    <row r="42" spans="1:6" x14ac:dyDescent="0.3">
      <c r="A42" s="79" t="s">
        <v>21</v>
      </c>
      <c r="B42" s="79" t="s">
        <v>59</v>
      </c>
      <c r="C42" s="79" t="s">
        <v>58</v>
      </c>
      <c r="D42" s="79" t="s">
        <v>11</v>
      </c>
      <c r="E42" s="75" t="s">
        <v>95</v>
      </c>
      <c r="F42" s="83"/>
    </row>
    <row r="43" spans="1:6" x14ac:dyDescent="0.3">
      <c r="A43" s="79" t="s">
        <v>21</v>
      </c>
      <c r="B43" s="79" t="s">
        <v>61</v>
      </c>
      <c r="C43" s="79" t="s">
        <v>60</v>
      </c>
      <c r="D43" s="79" t="s">
        <v>11</v>
      </c>
      <c r="E43" s="75" t="s">
        <v>95</v>
      </c>
      <c r="F43" s="83"/>
    </row>
    <row r="44" spans="1:6" x14ac:dyDescent="0.3">
      <c r="A44" s="79" t="s">
        <v>21</v>
      </c>
      <c r="B44" s="79" t="s">
        <v>59</v>
      </c>
      <c r="C44" s="79" t="s">
        <v>62</v>
      </c>
      <c r="D44" s="79" t="s">
        <v>11</v>
      </c>
      <c r="E44" s="75" t="s">
        <v>95</v>
      </c>
      <c r="F44" s="83"/>
    </row>
    <row r="45" spans="1:6" x14ac:dyDescent="0.3">
      <c r="A45" s="79" t="s">
        <v>21</v>
      </c>
      <c r="B45" s="79" t="s">
        <v>67</v>
      </c>
      <c r="C45" s="79" t="s">
        <v>66</v>
      </c>
      <c r="D45" s="79" t="s">
        <v>11</v>
      </c>
      <c r="E45" s="75" t="s">
        <v>95</v>
      </c>
      <c r="F45" s="83"/>
    </row>
    <row r="46" spans="1:6" x14ac:dyDescent="0.3">
      <c r="A46" s="79" t="s">
        <v>21</v>
      </c>
      <c r="B46" s="79" t="s">
        <v>69</v>
      </c>
      <c r="C46" s="79" t="s">
        <v>68</v>
      </c>
      <c r="D46" s="79" t="s">
        <v>11</v>
      </c>
      <c r="E46" s="75" t="s">
        <v>95</v>
      </c>
      <c r="F46" s="73"/>
    </row>
    <row r="47" spans="1:6" x14ac:dyDescent="0.3">
      <c r="A47" s="80" t="s">
        <v>21</v>
      </c>
      <c r="B47" s="80" t="s">
        <v>30</v>
      </c>
      <c r="C47" s="80" t="s">
        <v>29</v>
      </c>
      <c r="D47" s="80" t="s">
        <v>11</v>
      </c>
      <c r="E47" s="75" t="s">
        <v>95</v>
      </c>
      <c r="F47" s="73"/>
    </row>
    <row r="48" spans="1:6" x14ac:dyDescent="0.3">
      <c r="A48" s="80" t="s">
        <v>21</v>
      </c>
      <c r="B48" s="80" t="s">
        <v>30</v>
      </c>
      <c r="C48" s="80" t="s">
        <v>31</v>
      </c>
      <c r="D48" s="80" t="s">
        <v>11</v>
      </c>
      <c r="E48" s="75" t="s">
        <v>95</v>
      </c>
      <c r="F48" s="73"/>
    </row>
    <row r="49" spans="1:6" x14ac:dyDescent="0.3">
      <c r="A49" s="80" t="s">
        <v>21</v>
      </c>
      <c r="B49" s="80" t="s">
        <v>30</v>
      </c>
      <c r="C49" s="80" t="s">
        <v>32</v>
      </c>
      <c r="D49" s="80" t="s">
        <v>11</v>
      </c>
      <c r="E49" s="75" t="s">
        <v>95</v>
      </c>
      <c r="F49" s="73"/>
    </row>
    <row r="50" spans="1:6" x14ac:dyDescent="0.3">
      <c r="A50" s="81" t="s">
        <v>21</v>
      </c>
      <c r="B50" s="81" t="s">
        <v>34</v>
      </c>
      <c r="C50" s="81" t="s">
        <v>33</v>
      </c>
      <c r="D50" s="81" t="s">
        <v>11</v>
      </c>
      <c r="E50" s="75" t="s">
        <v>95</v>
      </c>
      <c r="F50" s="73"/>
    </row>
    <row r="51" spans="1:6" x14ac:dyDescent="0.3">
      <c r="A51" s="81" t="s">
        <v>21</v>
      </c>
      <c r="B51" s="81" t="s">
        <v>34</v>
      </c>
      <c r="C51" s="81" t="s">
        <v>35</v>
      </c>
      <c r="D51" s="81" t="s">
        <v>11</v>
      </c>
      <c r="E51" s="75" t="s">
        <v>95</v>
      </c>
      <c r="F51" s="83"/>
    </row>
    <row r="52" spans="1:6" x14ac:dyDescent="0.3">
      <c r="A52" s="81" t="s">
        <v>21</v>
      </c>
      <c r="B52" s="81" t="s">
        <v>34</v>
      </c>
      <c r="C52" s="81" t="s">
        <v>36</v>
      </c>
      <c r="D52" s="81" t="s">
        <v>11</v>
      </c>
      <c r="E52" s="75" t="s">
        <v>95</v>
      </c>
      <c r="F52" s="73"/>
    </row>
    <row r="53" spans="1:6" x14ac:dyDescent="0.3">
      <c r="A53" s="81" t="s">
        <v>21</v>
      </c>
      <c r="B53" s="81" t="s">
        <v>34</v>
      </c>
      <c r="C53" s="81" t="s">
        <v>100</v>
      </c>
      <c r="D53" s="81" t="s">
        <v>11</v>
      </c>
      <c r="E53" s="75" t="s">
        <v>95</v>
      </c>
      <c r="F53" s="73"/>
    </row>
    <row r="54" spans="1:6" x14ac:dyDescent="0.3">
      <c r="A54" s="81" t="s">
        <v>50</v>
      </c>
      <c r="B54" s="81" t="s">
        <v>34</v>
      </c>
      <c r="C54" s="81" t="s">
        <v>101</v>
      </c>
      <c r="D54" s="81" t="s">
        <v>11</v>
      </c>
      <c r="E54" s="75" t="s">
        <v>95</v>
      </c>
      <c r="F54" s="83"/>
    </row>
    <row r="55" spans="1:6" x14ac:dyDescent="0.3">
      <c r="A55" s="81" t="s">
        <v>21</v>
      </c>
      <c r="B55" s="81" t="s">
        <v>34</v>
      </c>
      <c r="C55" s="81" t="s">
        <v>41</v>
      </c>
      <c r="D55" s="81" t="s">
        <v>11</v>
      </c>
      <c r="E55" s="75" t="s">
        <v>95</v>
      </c>
      <c r="F55" s="83"/>
    </row>
    <row r="56" spans="1:6" x14ac:dyDescent="0.3">
      <c r="A56" s="81" t="s">
        <v>21</v>
      </c>
      <c r="B56" s="81" t="s">
        <v>34</v>
      </c>
      <c r="C56" s="81" t="s">
        <v>109</v>
      </c>
      <c r="D56" s="81" t="s">
        <v>11</v>
      </c>
      <c r="E56" s="75" t="s">
        <v>95</v>
      </c>
      <c r="F56" s="83"/>
    </row>
  </sheetData>
  <autoFilter ref="A1:J55" xr:uid="{9B7159CF-3617-4B10-B040-5A8CE1989BFC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Transport</vt:lpstr>
      <vt:lpstr>Soft Service</vt:lpstr>
      <vt:lpstr>MEP</vt:lpstr>
      <vt:lpstr>Adoc</vt:lpstr>
      <vt:lpstr>Vendor</vt:lpstr>
    </vt:vector>
  </TitlesOfParts>
  <Company>Aspire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Imraan Sardar</dc:creator>
  <cp:lastModifiedBy>Imraan Sardar</cp:lastModifiedBy>
  <dcterms:created xsi:type="dcterms:W3CDTF">2025-10-06T04:38:01Z</dcterms:created>
  <dcterms:modified xsi:type="dcterms:W3CDTF">2025-11-10T05:36:53Z</dcterms:modified>
</cp:coreProperties>
</file>